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Ex3.xml" ContentType="application/vnd.ms-office.chartex+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RABIYA BASRI\Downloads\"/>
    </mc:Choice>
  </mc:AlternateContent>
  <xr:revisionPtr revIDLastSave="0" documentId="8_{CB31DA3D-1002-4F02-93B4-886792340A09}" xr6:coauthVersionLast="47" xr6:coauthVersionMax="47" xr10:uidLastSave="{00000000-0000-0000-0000-000000000000}"/>
  <bookViews>
    <workbookView xWindow="-108" yWindow="-108" windowWidth="23256" windowHeight="12456" activeTab="1" xr2:uid="{00000000-000D-0000-FFFF-FFFF00000000}"/>
    <workbookView visibility="hidden" xWindow="-108" yWindow="-108" windowWidth="23256" windowHeight="12456" firstSheet="2" activeTab="2" xr2:uid="{60DD542A-1B2E-4B94-8E3E-CA8CB0DB3037}"/>
  </bookViews>
  <sheets>
    <sheet name="Porsche Pivot Analysis" sheetId="5" r:id="rId1"/>
    <sheet name="Porsche Dashboard" sheetId="14" r:id="rId2"/>
    <sheet name="Porsche Sales Sheet" sheetId="3" r:id="rId3"/>
  </sheets>
  <definedNames>
    <definedName name="_xlchart.v1.0" hidden="1">'Porsche Pivot Analysis'!$A$36:$A$48</definedName>
    <definedName name="_xlchart.v1.1" hidden="1">'Porsche Pivot Analysis'!$B$35</definedName>
    <definedName name="_xlchart.v1.10" hidden="1">'Porsche Pivot Analysis'!$B$75:$B$80</definedName>
    <definedName name="_xlchart.v1.11" hidden="1">'Porsche Pivot Analysis'!$C$75:$C$80</definedName>
    <definedName name="_xlchart.v1.2" hidden="1">'Porsche Pivot Analysis'!$B$36:$B$48</definedName>
    <definedName name="_xlchart.v1.3" hidden="1">'Porsche Pivot Analysis'!$A$75:$A$80</definedName>
    <definedName name="_xlchart.v1.4" hidden="1">'Porsche Pivot Analysis'!$B$75:$B$80</definedName>
    <definedName name="_xlchart.v1.5" hidden="1">'Porsche Pivot Analysis'!$C$75:$C$80</definedName>
    <definedName name="_xlchart.v1.6" hidden="1">'Porsche Pivot Analysis'!$A$75:$A$80</definedName>
    <definedName name="_xlchart.v1.7" hidden="1">'Porsche Pivot Analysis'!$B$75:$B$80</definedName>
    <definedName name="_xlchart.v1.8" hidden="1">'Porsche Pivot Analysis'!$C$75:$C$80</definedName>
    <definedName name="_xlchart.v1.9" hidden="1">'Porsche Pivot Analysis'!$A$75:$A$80</definedName>
    <definedName name="ExternalData_1" localSheetId="2" hidden="1">'Porsche Sales Sheet'!$A$1:$K$1001</definedName>
    <definedName name="Slicer_Cost">#N/A</definedName>
    <definedName name="Slicer_Model">#N/A</definedName>
    <definedName name="Slicer_Region">#N/A</definedName>
    <definedName name="Slicer_Units_Sold">#N/A</definedName>
    <definedName name="Slicer_Years_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14" l="1"/>
  <c r="R6" i="14"/>
  <c r="L6"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A93246-9A75-482B-BACB-086484D55342}" keepAlive="1" name="Query - Porsche Sales" description="Connection to the 'Porsche Sales' query in the workbook." type="5" refreshedVersion="8" background="1" saveData="1">
    <dbPr connection="Provider=Microsoft.Mashup.OleDb.1;Data Source=$Workbook$;Location=&quot;Porsche Sales&quot;;Extended Properties=&quot;&quot;" command="SELECT * FROM [Porsche Sales]"/>
  </connection>
</connections>
</file>

<file path=xl/sharedStrings.xml><?xml version="1.0" encoding="utf-8"?>
<sst xmlns="http://schemas.openxmlformats.org/spreadsheetml/2006/main" count="3135" uniqueCount="55">
  <si>
    <t>Date</t>
  </si>
  <si>
    <t>Model</t>
  </si>
  <si>
    <t>Region</t>
  </si>
  <si>
    <t>Units Sold</t>
  </si>
  <si>
    <t>Price</t>
  </si>
  <si>
    <t>Discount %</t>
  </si>
  <si>
    <t>GST</t>
  </si>
  <si>
    <t>Revenue</t>
  </si>
  <si>
    <t>Cost</t>
  </si>
  <si>
    <t>Profit</t>
  </si>
  <si>
    <t>Macan</t>
  </si>
  <si>
    <t>Hyderabad</t>
  </si>
  <si>
    <t>Taycan</t>
  </si>
  <si>
    <t>Mumbai</t>
  </si>
  <si>
    <t>Delhi</t>
  </si>
  <si>
    <t>911 Carrera</t>
  </si>
  <si>
    <t>Panamera</t>
  </si>
  <si>
    <t>Chennai</t>
  </si>
  <si>
    <t>Bangalore</t>
  </si>
  <si>
    <t>Cayenne</t>
  </si>
  <si>
    <t>Row Labels</t>
  </si>
  <si>
    <t>Grand Total</t>
  </si>
  <si>
    <t>Sum of Revenue</t>
  </si>
  <si>
    <t>Sum of Profit</t>
  </si>
  <si>
    <t>Sum of Units Sold</t>
  </si>
  <si>
    <t>Month Name</t>
  </si>
  <si>
    <t>January</t>
  </si>
  <si>
    <t>February</t>
  </si>
  <si>
    <t>March</t>
  </si>
  <si>
    <t>April</t>
  </si>
  <si>
    <t>May</t>
  </si>
  <si>
    <t>June</t>
  </si>
  <si>
    <t>July</t>
  </si>
  <si>
    <t>August</t>
  </si>
  <si>
    <t>September</t>
  </si>
  <si>
    <t>October</t>
  </si>
  <si>
    <t>November</t>
  </si>
  <si>
    <t>December</t>
  </si>
  <si>
    <t>Jan</t>
  </si>
  <si>
    <t>Feb</t>
  </si>
  <si>
    <t>Mar</t>
  </si>
  <si>
    <t>Apr</t>
  </si>
  <si>
    <t>Jun</t>
  </si>
  <si>
    <t>Jul</t>
  </si>
  <si>
    <t>Aug</t>
  </si>
  <si>
    <t>Sep</t>
  </si>
  <si>
    <t>Oct</t>
  </si>
  <si>
    <t>Nov</t>
  </si>
  <si>
    <t>Dec</t>
  </si>
  <si>
    <t>Average of Discount %</t>
  </si>
  <si>
    <t>Sum of GST</t>
  </si>
  <si>
    <t>Column Labels</t>
  </si>
  <si>
    <t>Sum of Cost</t>
  </si>
  <si>
    <t>Total Revenue</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</si>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</sst>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quot;₹&quot;#,##0,,.&quot;Cr&quot;"/>
  </numFmts>
  <fonts count="3" x14ac:knownFonts="1">
    <font>
      <sz val="11"/>
      <color theme="1"/>
      <name val="Calibri"/>
      <family val="2"/>
      <scheme val="minor"/>
    </font>
    <font>
      <sz val="11"/>
      <color theme="7" tint="-0.499984740745262"/>
      <name val="Calibri"/>
      <family val="2"/>
      <scheme val="minor"/>
    </font>
    <font>
      <b/>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1" fillId="0" borderId="0" xfId="0" applyFont="1"/>
    <xf numFmtId="44" fontId="0" fillId="0" borderId="0" xfId="0" applyNumberFormat="1"/>
    <xf numFmtId="164" fontId="2" fillId="0" borderId="0" xfId="0" applyNumberFormat="1" applyFont="1" applyAlignment="1">
      <alignment horizontal="center" vertical="center"/>
    </xf>
    <xf numFmtId="0" fontId="2" fillId="0" borderId="0" xfId="0" applyFont="1" applyAlignment="1">
      <alignment horizontal="center" vertical="center"/>
    </xf>
    <xf numFmtId="0" fontId="0" fillId="0" borderId="0" xfId="0" applyNumberFormat="1"/>
  </cellXfs>
  <cellStyles count="1">
    <cellStyle name="Normal" xfId="0" builtinId="0"/>
  </cellStyles>
  <dxfs count="86">
    <dxf>
      <numFmt numFmtId="14" formatCode="0.00%"/>
    </dxf>
    <dxf>
      <numFmt numFmtId="2" formatCode="0.00"/>
    </dxf>
    <dxf>
      <numFmt numFmtId="2" formatCode="0.00"/>
    </dxf>
    <dxf>
      <numFmt numFmtId="164" formatCode="&quot;₹&quot;#,##0,,.&quot;Cr&quot;"/>
    </dxf>
    <dxf>
      <numFmt numFmtId="165" formatCode="&quot;₹&quot;#,##0.00,,&quot;Cr&quot;"/>
    </dxf>
    <dxf>
      <numFmt numFmtId="164" formatCode="&quot;₹&quot;#,##0,,.&quot;Cr&quot;"/>
    </dxf>
    <dxf>
      <numFmt numFmtId="14" formatCode="0.00%"/>
    </dxf>
    <dxf>
      <numFmt numFmtId="2" formatCode="0.00"/>
    </dxf>
    <dxf>
      <numFmt numFmtId="2" formatCode="0.00"/>
    </dxf>
    <dxf>
      <numFmt numFmtId="164" formatCode="&quot;₹&quot;#,##0,,.&quot;Cr&quot;"/>
    </dxf>
    <dxf>
      <numFmt numFmtId="165" formatCode="&quot;₹&quot;#,##0.00,,&quot;Cr&quot;"/>
    </dxf>
    <dxf>
      <numFmt numFmtId="164" formatCode="&quot;₹&quot;#,##0,,.&quot;Cr&quot;"/>
    </dxf>
    <dxf>
      <numFmt numFmtId="14" formatCode="0.00%"/>
    </dxf>
    <dxf>
      <numFmt numFmtId="2" formatCode="0.00"/>
    </dxf>
    <dxf>
      <numFmt numFmtId="2" formatCode="0.00"/>
    </dxf>
    <dxf>
      <numFmt numFmtId="164" formatCode="&quot;₹&quot;#,##0,,.&quot;Cr&quot;"/>
    </dxf>
    <dxf>
      <numFmt numFmtId="165" formatCode="&quot;₹&quot;#,##0.00,,&quot;Cr&quot;"/>
    </dxf>
    <dxf>
      <numFmt numFmtId="164" formatCode="&quot;₹&quot;#,##0,,.&quot;Cr&quot;"/>
    </dxf>
    <dxf>
      <numFmt numFmtId="14" formatCode="0.00%"/>
    </dxf>
    <dxf>
      <numFmt numFmtId="2" formatCode="0.00"/>
    </dxf>
    <dxf>
      <numFmt numFmtId="2" formatCode="0.00"/>
    </dxf>
    <dxf>
      <numFmt numFmtId="164" formatCode="&quot;₹&quot;#,##0,,.&quot;Cr&quot;"/>
    </dxf>
    <dxf>
      <numFmt numFmtId="165" formatCode="&quot;₹&quot;#,##0.00,,&quot;Cr&quot;"/>
    </dxf>
    <dxf>
      <numFmt numFmtId="164" formatCode="&quot;₹&quot;#,##0,,.&quot;Cr&quot;"/>
    </dxf>
    <dxf>
      <numFmt numFmtId="14" formatCode="0.00%"/>
    </dxf>
    <dxf>
      <numFmt numFmtId="2" formatCode="0.00"/>
    </dxf>
    <dxf>
      <numFmt numFmtId="2" formatCode="0.00"/>
    </dxf>
    <dxf>
      <numFmt numFmtId="164" formatCode="&quot;₹&quot;#,##0,,.&quot;Cr&quot;"/>
    </dxf>
    <dxf>
      <numFmt numFmtId="165" formatCode="&quot;₹&quot;#,##0.00,,&quot;Cr&quot;"/>
    </dxf>
    <dxf>
      <numFmt numFmtId="164" formatCode="&quot;₹&quot;#,##0,,.&quot;Cr&quot;"/>
    </dxf>
    <dxf>
      <font>
        <color theme="0"/>
        <name val="Times New Roman"/>
        <family val="1"/>
        <scheme val="none"/>
      </font>
      <fill>
        <patternFill>
          <bgColor theme="2" tint="-0.749961851863155"/>
        </patternFill>
      </fill>
    </dxf>
    <dxf>
      <font>
        <color theme="2" tint="-0.749961851863155"/>
        <name val="Times New Roman"/>
        <family val="1"/>
        <scheme val="none"/>
      </font>
    </dxf>
    <dxf>
      <numFmt numFmtId="14" formatCode="0.00%"/>
    </dxf>
    <dxf>
      <numFmt numFmtId="2" formatCode="0.00"/>
    </dxf>
    <dxf>
      <numFmt numFmtId="2" formatCode="0.00"/>
    </dxf>
    <dxf>
      <numFmt numFmtId="164" formatCode="&quot;₹&quot;#,##0,,.&quot;Cr&quot;"/>
    </dxf>
    <dxf>
      <numFmt numFmtId="165" formatCode="&quot;₹&quot;#,##0.00,,&quot;Cr&quot;"/>
    </dxf>
    <dxf>
      <numFmt numFmtId="164" formatCode="&quot;₹&quot;#,##0,,.&quot;Cr&quot;"/>
    </dxf>
    <dxf>
      <numFmt numFmtId="14" formatCode="0.00%"/>
    </dxf>
    <dxf>
      <numFmt numFmtId="2" formatCode="0.00"/>
    </dxf>
    <dxf>
      <numFmt numFmtId="2" formatCode="0.00"/>
    </dxf>
    <dxf>
      <numFmt numFmtId="164" formatCode="&quot;₹&quot;#,##0,,.&quot;Cr&quot;"/>
    </dxf>
    <dxf>
      <numFmt numFmtId="165" formatCode="&quot;₹&quot;#,##0.00,,&quot;Cr&quot;"/>
    </dxf>
    <dxf>
      <numFmt numFmtId="164" formatCode="&quot;₹&quot;#,##0,,.&quot;Cr&quot;"/>
    </dxf>
    <dxf>
      <numFmt numFmtId="14" formatCode="0.00%"/>
    </dxf>
    <dxf>
      <numFmt numFmtId="2" formatCode="0.00"/>
    </dxf>
    <dxf>
      <numFmt numFmtId="2" formatCode="0.00"/>
    </dxf>
    <dxf>
      <numFmt numFmtId="164" formatCode="&quot;₹&quot;#,##0,,.&quot;Cr&quot;"/>
    </dxf>
    <dxf>
      <numFmt numFmtId="165" formatCode="&quot;₹&quot;#,##0.00,,&quot;Cr&quot;"/>
    </dxf>
    <dxf>
      <numFmt numFmtId="164" formatCode="&quot;₹&quot;#,##0,,.&quot;Cr&quot;"/>
    </dxf>
    <dxf>
      <numFmt numFmtId="14" formatCode="0.00%"/>
    </dxf>
    <dxf>
      <numFmt numFmtId="2" formatCode="0.00"/>
    </dxf>
    <dxf>
      <numFmt numFmtId="2" formatCode="0.00"/>
    </dxf>
    <dxf>
      <numFmt numFmtId="164" formatCode="&quot;₹&quot;#,##0,,.&quot;Cr&quot;"/>
    </dxf>
    <dxf>
      <numFmt numFmtId="165" formatCode="&quot;₹&quot;#,##0.00,,&quot;Cr&quot;"/>
    </dxf>
    <dxf>
      <numFmt numFmtId="164" formatCode="&quot;₹&quot;#,##0,,.&quot;Cr&quot;"/>
    </dxf>
    <dxf>
      <numFmt numFmtId="14" formatCode="0.00%"/>
    </dxf>
    <dxf>
      <numFmt numFmtId="2" formatCode="0.00"/>
    </dxf>
    <dxf>
      <numFmt numFmtId="2" formatCode="0.00"/>
    </dxf>
    <dxf>
      <numFmt numFmtId="164" formatCode="&quot;₹&quot;#,##0,,.&quot;Cr&quot;"/>
    </dxf>
    <dxf>
      <numFmt numFmtId="165" formatCode="&quot;₹&quot;#,##0.00,,&quot;Cr&quot;"/>
    </dxf>
    <dxf>
      <numFmt numFmtId="164" formatCode="&quot;₹&quot;#,##0,,.&quot;Cr&quot;"/>
    </dxf>
    <dxf>
      <numFmt numFmtId="14" formatCode="0.00%"/>
    </dxf>
    <dxf>
      <numFmt numFmtId="2" formatCode="0.00"/>
    </dxf>
    <dxf>
      <numFmt numFmtId="2" formatCode="0.00"/>
    </dxf>
    <dxf>
      <numFmt numFmtId="164" formatCode="&quot;₹&quot;#,##0,,.&quot;Cr&quot;"/>
    </dxf>
    <dxf>
      <numFmt numFmtId="165" formatCode="&quot;₹&quot;#,##0.00,,&quot;Cr&quot;"/>
    </dxf>
    <dxf>
      <numFmt numFmtId="164" formatCode="&quot;₹&quot;#,##0,,.&quot;Cr&quot;"/>
    </dxf>
    <dxf>
      <numFmt numFmtId="164" formatCode="&quot;₹&quot;#,##0,,.&quot;Cr&quot;"/>
    </dxf>
    <dxf>
      <numFmt numFmtId="2" formatCode="0.00"/>
    </dxf>
    <dxf>
      <numFmt numFmtId="14" formatCode="0.00%"/>
    </dxf>
    <dxf>
      <numFmt numFmtId="164" formatCode="&quot;₹&quot;#,##0,,.&quot;Cr&quot;"/>
    </dxf>
    <dxf>
      <numFmt numFmtId="165" formatCode="&quot;₹&quot;#,##0.00,,&quot;Cr&quot;"/>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9" defaultPivotStyle="PivotStyleLight16">
    <tableStyle name="Slicer Style 1" pivot="0" table="0" count="1" xr9:uid="{780968DB-07A9-4F9A-ACE8-8B649E4D805C}">
      <tableStyleElement type="wholeTable" dxfId="31"/>
    </tableStyle>
    <tableStyle name="Slicer Style 2" pivot="0" table="0" count="1" xr9:uid="{427254B9-7D42-4CD7-AA12-1D4B15C761BA}">
      <tableStyleElement type="wholeTable" dxfId="30"/>
    </tableStyle>
  </tableStyles>
  <colors>
    <mruColors>
      <color rgb="FF680000"/>
      <color rgb="FF996600"/>
      <color rgb="FFDF900F"/>
      <color rgb="FFFF990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[Rabiya_ProjectRepot_Excel__.xlsx]Porsche Pivot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latin typeface="Times New Roman" panose="02020603050405020304" pitchFamily="18" charset="0"/>
                <a:cs typeface="Times New Roman" panose="02020603050405020304" pitchFamily="18" charset="0"/>
              </a:rPr>
              <a:t>Model-wise Revenue Analysis</a:t>
            </a:r>
            <a:endParaRPr lang="en-US" sz="11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'Porsche Pivot Analysis'!$B$3</c:f>
              <c:strCache>
                <c:ptCount val="1"/>
                <c:pt idx="0">
                  <c:v>Total</c:v>
                </c:pt>
              </c:strCache>
            </c:strRef>
          </c:tx>
          <c:spPr>
            <a:solidFill>
              <a:schemeClr val="accent4"/>
            </a:solidFill>
            <a:ln>
              <a:noFill/>
            </a:ln>
            <a:effectLst/>
          </c:spPr>
          <c:invertIfNegative val="0"/>
          <c:cat>
            <c:strRef>
              <c:f>'Porsche Pivot Analysis'!$A$4:$A$9</c:f>
              <c:strCache>
                <c:ptCount val="5"/>
                <c:pt idx="0">
                  <c:v>911 Carrera</c:v>
                </c:pt>
                <c:pt idx="1">
                  <c:v>Cayenne</c:v>
                </c:pt>
                <c:pt idx="2">
                  <c:v>Macan</c:v>
                </c:pt>
                <c:pt idx="3">
                  <c:v>Panamera</c:v>
                </c:pt>
                <c:pt idx="4">
                  <c:v>Taycan</c:v>
                </c:pt>
              </c:strCache>
            </c:strRef>
          </c:cat>
          <c:val>
            <c:numRef>
              <c:f>'Porsche Pivot Analysis'!$B$4:$B$9</c:f>
              <c:numCache>
                <c:formatCode>General</c:formatCode>
                <c:ptCount val="5"/>
                <c:pt idx="0">
                  <c:v>8852760000</c:v>
                </c:pt>
                <c:pt idx="1">
                  <c:v>7878750000</c:v>
                </c:pt>
                <c:pt idx="2">
                  <c:v>3687570000</c:v>
                </c:pt>
                <c:pt idx="3">
                  <c:v>8271040000</c:v>
                </c:pt>
                <c:pt idx="4">
                  <c:v>8071430000</c:v>
                </c:pt>
              </c:numCache>
            </c:numRef>
          </c:val>
          <c:extLst>
            <c:ext xmlns:c16="http://schemas.microsoft.com/office/drawing/2014/chart" uri="{C3380CC4-5D6E-409C-BE32-E72D297353CC}">
              <c16:uniqueId val="{00000000-D0A6-4D07-830B-433B5986FA8D}"/>
            </c:ext>
          </c:extLst>
        </c:ser>
        <c:dLbls>
          <c:showLegendKey val="0"/>
          <c:showVal val="0"/>
          <c:showCatName val="0"/>
          <c:showSerName val="0"/>
          <c:showPercent val="0"/>
          <c:showBubbleSize val="0"/>
        </c:dLbls>
        <c:gapWidth val="182"/>
        <c:axId val="1084416239"/>
        <c:axId val="1084417679"/>
      </c:barChart>
      <c:catAx>
        <c:axId val="108441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417679"/>
        <c:crosses val="autoZero"/>
        <c:auto val="1"/>
        <c:lblAlgn val="ctr"/>
        <c:lblOffset val="100"/>
        <c:noMultiLvlLbl val="0"/>
      </c:catAx>
      <c:valAx>
        <c:axId val="1084417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41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[Rabiya_ProjectRepot_Excel__.xlsx]Porsche Pivot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latin typeface="Times New Roman" panose="02020603050405020304" pitchFamily="18" charset="0"/>
                <a:cs typeface="Times New Roman" panose="02020603050405020304" pitchFamily="18" charset="0"/>
              </a:rPr>
              <a:t>Model-wise Profit Analysis</a:t>
            </a:r>
            <a:endParaRPr lang="en-US" sz="11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54000"/>
            </a:schemeClr>
          </a:solidFill>
          <a:ln w="19050">
            <a:solidFill>
              <a:schemeClr val="lt1"/>
            </a:solidFill>
          </a:ln>
          <a:effectLst/>
        </c:spPr>
      </c:pivotFmt>
      <c:pivotFmt>
        <c:idx val="2"/>
        <c:spPr>
          <a:solidFill>
            <a:schemeClr val="accent4">
              <a:tint val="77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hade val="76000"/>
            </a:schemeClr>
          </a:solidFill>
          <a:ln w="19050">
            <a:solidFill>
              <a:schemeClr val="lt1"/>
            </a:solidFill>
          </a:ln>
          <a:effectLst/>
        </c:spPr>
      </c:pivotFmt>
      <c:pivotFmt>
        <c:idx val="5"/>
        <c:spPr>
          <a:solidFill>
            <a:schemeClr val="accent4">
              <a:shade val="53000"/>
            </a:schemeClr>
          </a:solidFill>
          <a:ln w="19050">
            <a:solidFill>
              <a:schemeClr val="lt1"/>
            </a:solidFill>
          </a:ln>
          <a:effectLst/>
        </c:spPr>
      </c:pivotFmt>
    </c:pivotFmts>
    <c:plotArea>
      <c:layout/>
      <c:pieChart>
        <c:varyColors val="1"/>
        <c:ser>
          <c:idx val="0"/>
          <c:order val="0"/>
          <c:tx>
            <c:strRef>
              <c:f>'Porsche Pivot Analysis'!$B$11</c:f>
              <c:strCache>
                <c:ptCount val="1"/>
                <c:pt idx="0">
                  <c:v>Total</c:v>
                </c:pt>
              </c:strCache>
            </c:strRef>
          </c:tx>
          <c:dPt>
            <c:idx val="0"/>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1-5A09-4F1F-BEF8-EDFE48D7401C}"/>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5A09-4F1F-BEF8-EDFE48D7401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A09-4F1F-BEF8-EDFE48D7401C}"/>
              </c:ext>
            </c:extLst>
          </c:dPt>
          <c:dPt>
            <c:idx val="3"/>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7-5A09-4F1F-BEF8-EDFE48D7401C}"/>
              </c:ext>
            </c:extLst>
          </c:dPt>
          <c:dPt>
            <c:idx val="4"/>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9-5A09-4F1F-BEF8-EDFE48D740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'Porsche Pivot Analysis'!$A$12:$A$17</c:f>
              <c:strCache>
                <c:ptCount val="5"/>
                <c:pt idx="0">
                  <c:v>911 Carrera</c:v>
                </c:pt>
                <c:pt idx="1">
                  <c:v>Cayenne</c:v>
                </c:pt>
                <c:pt idx="2">
                  <c:v>Macan</c:v>
                </c:pt>
                <c:pt idx="3">
                  <c:v>Panamera</c:v>
                </c:pt>
                <c:pt idx="4">
                  <c:v>Taycan</c:v>
                </c:pt>
              </c:strCache>
            </c:strRef>
          </c:cat>
          <c:val>
            <c:numRef>
              <c:f>'Porsche Pivot Analysis'!$B$12:$B$17</c:f>
              <c:numCache>
                <c:formatCode>General</c:formatCode>
                <c:ptCount val="5"/>
                <c:pt idx="0">
                  <c:v>1465560000</c:v>
                </c:pt>
                <c:pt idx="1">
                  <c:v>1314750000</c:v>
                </c:pt>
                <c:pt idx="2">
                  <c:v>613170000</c:v>
                </c:pt>
                <c:pt idx="3">
                  <c:v>1384640000</c:v>
                </c:pt>
                <c:pt idx="4">
                  <c:v>1339430000</c:v>
                </c:pt>
              </c:numCache>
            </c:numRef>
          </c:val>
          <c:extLst>
            <c:ext xmlns:c16="http://schemas.microsoft.com/office/drawing/2014/chart" uri="{C3380CC4-5D6E-409C-BE32-E72D297353CC}">
              <c16:uniqueId val="{00000000-A740-4DB0-86F2-CF350FB2D4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[Rabiya_ProjectRepot_Excel__.xlsx]Porsche Pivot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latin typeface="Times New Roman" panose="02020603050405020304" pitchFamily="18" charset="0"/>
                <a:cs typeface="Times New Roman" panose="02020603050405020304" pitchFamily="18" charset="0"/>
              </a:rPr>
              <a:t>Region-wise Revenue Performance</a:t>
            </a:r>
            <a:endParaRPr lang="en-US" sz="11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'Porsche Pivot Analysis'!$B$19</c:f>
              <c:strCache>
                <c:ptCount val="1"/>
                <c:pt idx="0">
                  <c:v>Total</c:v>
                </c:pt>
              </c:strCache>
            </c:strRef>
          </c:tx>
          <c:spPr>
            <a:solidFill>
              <a:schemeClr val="accent4"/>
            </a:solidFill>
            <a:ln>
              <a:noFill/>
            </a:ln>
            <a:effectLst/>
            <a:sp3d/>
          </c:spPr>
          <c:cat>
            <c:strRef>
              <c:f>'Porsche Pivot Analysis'!$A$20:$A$25</c:f>
              <c:strCache>
                <c:ptCount val="5"/>
                <c:pt idx="0">
                  <c:v>Bangalore</c:v>
                </c:pt>
                <c:pt idx="1">
                  <c:v>Chennai</c:v>
                </c:pt>
                <c:pt idx="2">
                  <c:v>Delhi</c:v>
                </c:pt>
                <c:pt idx="3">
                  <c:v>Hyderabad</c:v>
                </c:pt>
                <c:pt idx="4">
                  <c:v>Mumbai</c:v>
                </c:pt>
              </c:strCache>
            </c:strRef>
          </c:cat>
          <c:val>
            <c:numRef>
              <c:f>'Porsche Pivot Analysis'!$B$20:$B$25</c:f>
              <c:numCache>
                <c:formatCode>General</c:formatCode>
                <c:ptCount val="5"/>
                <c:pt idx="0">
                  <c:v>6945100000</c:v>
                </c:pt>
                <c:pt idx="1">
                  <c:v>7339970000</c:v>
                </c:pt>
                <c:pt idx="2">
                  <c:v>8013750000</c:v>
                </c:pt>
                <c:pt idx="3">
                  <c:v>7271910000</c:v>
                </c:pt>
                <c:pt idx="4">
                  <c:v>7190820000</c:v>
                </c:pt>
              </c:numCache>
            </c:numRef>
          </c:val>
          <c:smooth val="0"/>
          <c:extLst>
            <c:ext xmlns:c16="http://schemas.microsoft.com/office/drawing/2014/chart" uri="{C3380CC4-5D6E-409C-BE32-E72D297353CC}">
              <c16:uniqueId val="{00000000-7C34-49A1-B714-C20D24DF225E}"/>
            </c:ext>
          </c:extLst>
        </c:ser>
        <c:dLbls>
          <c:showLegendKey val="0"/>
          <c:showVal val="0"/>
          <c:showCatName val="0"/>
          <c:showSerName val="0"/>
          <c:showPercent val="0"/>
          <c:showBubbleSize val="0"/>
        </c:dLbls>
        <c:axId val="1375147679"/>
        <c:axId val="1375148159"/>
        <c:axId val="626968703"/>
      </c:line3DChart>
      <c:catAx>
        <c:axId val="137514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148159"/>
        <c:crosses val="autoZero"/>
        <c:auto val="1"/>
        <c:lblAlgn val="ctr"/>
        <c:lblOffset val="100"/>
        <c:noMultiLvlLbl val="0"/>
      </c:catAx>
      <c:valAx>
        <c:axId val="1375148159"/>
        <c:scaling>
          <c:orientation val="minMax"/>
        </c:scaling>
        <c:delete val="1"/>
        <c:axPos val="l"/>
        <c:numFmt formatCode="General" sourceLinked="1"/>
        <c:majorTickMark val="none"/>
        <c:minorTickMark val="none"/>
        <c:tickLblPos val="nextTo"/>
        <c:crossAx val="1375147679"/>
        <c:crosses val="autoZero"/>
        <c:crossBetween val="between"/>
      </c:valAx>
      <c:serAx>
        <c:axId val="62696870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1481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[Rabiya_ProjectRepot_Excel__.xlsx]Porsche Pivot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latin typeface="Times New Roman" panose="02020603050405020304" pitchFamily="18" charset="0"/>
                <a:cs typeface="Times New Roman" panose="02020603050405020304" pitchFamily="18" charset="0"/>
              </a:rPr>
              <a:t>Model-wise Sales Volume </a:t>
            </a:r>
            <a:endParaRPr lang="en-IN" sz="11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53000"/>
            </a:schemeClr>
          </a:solidFill>
          <a:ln w="19050">
            <a:solidFill>
              <a:schemeClr val="lt1"/>
            </a:solidFill>
          </a:ln>
          <a:effectLst/>
        </c:spPr>
      </c:pivotFmt>
      <c:pivotFmt>
        <c:idx val="2"/>
        <c:spPr>
          <a:solidFill>
            <a:schemeClr val="accent4">
              <a:shade val="76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77000"/>
            </a:schemeClr>
          </a:solidFill>
          <a:ln w="19050">
            <a:solidFill>
              <a:schemeClr val="lt1"/>
            </a:solidFill>
          </a:ln>
          <a:effectLst/>
        </c:spPr>
      </c:pivotFmt>
      <c:pivotFmt>
        <c:idx val="5"/>
        <c:spPr>
          <a:solidFill>
            <a:schemeClr val="accent4">
              <a:tint val="54000"/>
            </a:schemeClr>
          </a:solidFill>
          <a:ln w="19050">
            <a:solidFill>
              <a:schemeClr val="lt1"/>
            </a:solidFill>
          </a:ln>
          <a:effectLst/>
        </c:spPr>
      </c:pivotFmt>
    </c:pivotFmts>
    <c:plotArea>
      <c:layout/>
      <c:doughnutChart>
        <c:varyColors val="1"/>
        <c:ser>
          <c:idx val="0"/>
          <c:order val="0"/>
          <c:tx>
            <c:strRef>
              <c:f>'Porsche Pivot Analysis'!$B$27</c:f>
              <c:strCache>
                <c:ptCount val="1"/>
                <c:pt idx="0">
                  <c:v>Total</c:v>
                </c:pt>
              </c:strCache>
            </c:strRef>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127A-4963-9B72-A6634CBA2F8A}"/>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127A-4963-9B72-A6634CBA2F8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127A-4963-9B72-A6634CBA2F8A}"/>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127A-4963-9B72-A6634CBA2F8A}"/>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127A-4963-9B72-A6634CBA2F8A}"/>
              </c:ext>
            </c:extLst>
          </c:dPt>
          <c:cat>
            <c:strRef>
              <c:f>'Porsche Pivot Analysis'!$A$28:$A$33</c:f>
              <c:strCache>
                <c:ptCount val="5"/>
                <c:pt idx="0">
                  <c:v>911 Carrera</c:v>
                </c:pt>
                <c:pt idx="1">
                  <c:v>Cayenne</c:v>
                </c:pt>
                <c:pt idx="2">
                  <c:v>Macan</c:v>
                </c:pt>
                <c:pt idx="3">
                  <c:v>Panamera</c:v>
                </c:pt>
                <c:pt idx="4">
                  <c:v>Taycan</c:v>
                </c:pt>
              </c:strCache>
            </c:strRef>
          </c:cat>
          <c:val>
            <c:numRef>
              <c:f>'Porsche Pivot Analysis'!$B$28:$B$33</c:f>
              <c:numCache>
                <c:formatCode>General</c:formatCode>
                <c:ptCount val="5"/>
                <c:pt idx="0">
                  <c:v>513</c:v>
                </c:pt>
                <c:pt idx="1">
                  <c:v>547</c:v>
                </c:pt>
                <c:pt idx="2">
                  <c:v>427</c:v>
                </c:pt>
                <c:pt idx="3">
                  <c:v>538</c:v>
                </c:pt>
                <c:pt idx="4">
                  <c:v>495</c:v>
                </c:pt>
              </c:numCache>
            </c:numRef>
          </c:val>
          <c:extLst>
            <c:ext xmlns:c16="http://schemas.microsoft.com/office/drawing/2014/chart" uri="{C3380CC4-5D6E-409C-BE32-E72D297353CC}">
              <c16:uniqueId val="{00000000-CB7D-45FD-A224-1268A0154D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[Rabiya_ProjectRepot_Excel__.xlsx]Porsche Pivot Analysis!PivotTable12</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a:t>Model-wise Discount Analysis</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hade val="53000"/>
            </a:schemeClr>
          </a:solidFill>
          <a:ln w="25400">
            <a:solidFill>
              <a:schemeClr val="lt1"/>
            </a:solidFill>
          </a:ln>
          <a:effectLst/>
          <a:sp3d contourW="25400">
            <a:contourClr>
              <a:schemeClr val="lt1"/>
            </a:contourClr>
          </a:sp3d>
        </c:spPr>
      </c:pivotFmt>
      <c:pivotFmt>
        <c:idx val="2"/>
        <c:spPr>
          <a:solidFill>
            <a:schemeClr val="accent4">
              <a:shade val="76000"/>
            </a:schemeClr>
          </a:solidFill>
          <a:ln w="25400">
            <a:solidFill>
              <a:schemeClr val="lt1"/>
            </a:solidFill>
          </a:ln>
          <a:effectLst/>
          <a:sp3d contourW="25400">
            <a:contourClr>
              <a:schemeClr val="lt1"/>
            </a:contourClr>
          </a:sp3d>
        </c:spPr>
      </c:pivotFmt>
      <c:pivotFmt>
        <c:idx val="3"/>
        <c:spPr>
          <a:solidFill>
            <a:schemeClr val="accent4"/>
          </a:solidFill>
          <a:ln w="25400">
            <a:solidFill>
              <a:schemeClr val="lt1"/>
            </a:solidFill>
          </a:ln>
          <a:effectLst/>
          <a:sp3d contourW="25400">
            <a:contourClr>
              <a:schemeClr val="lt1"/>
            </a:contourClr>
          </a:sp3d>
        </c:spPr>
      </c:pivotFmt>
      <c:pivotFmt>
        <c:idx val="4"/>
        <c:spPr>
          <a:solidFill>
            <a:schemeClr val="accent4">
              <a:tint val="77000"/>
            </a:schemeClr>
          </a:solidFill>
          <a:ln w="25400">
            <a:solidFill>
              <a:schemeClr val="lt1"/>
            </a:solidFill>
          </a:ln>
          <a:effectLst/>
          <a:sp3d contourW="25400">
            <a:contourClr>
              <a:schemeClr val="lt1"/>
            </a:contourClr>
          </a:sp3d>
        </c:spPr>
      </c:pivotFmt>
      <c:pivotFmt>
        <c:idx val="5"/>
        <c:spPr>
          <a:solidFill>
            <a:schemeClr val="accent4">
              <a:tint val="54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'Porsche Pivot Analysis'!$B$58</c:f>
              <c:strCache>
                <c:ptCount val="1"/>
                <c:pt idx="0">
                  <c:v>Total</c:v>
                </c:pt>
              </c:strCache>
            </c:strRef>
          </c:tx>
          <c:dPt>
            <c:idx val="0"/>
            <c:bubble3D val="0"/>
            <c:spPr>
              <a:solidFill>
                <a:schemeClr val="accent4">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B8EE-4699-80BB-7EB56413EB19}"/>
              </c:ext>
            </c:extLst>
          </c:dPt>
          <c:dPt>
            <c:idx val="1"/>
            <c:bubble3D val="0"/>
            <c:spPr>
              <a:solidFill>
                <a:schemeClr val="accent4">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8EE-4699-80BB-7EB56413EB19}"/>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4-B8EE-4699-80BB-7EB56413EB19}"/>
              </c:ext>
            </c:extLst>
          </c:dPt>
          <c:dPt>
            <c:idx val="3"/>
            <c:bubble3D val="0"/>
            <c:spPr>
              <a:solidFill>
                <a:schemeClr val="accent4">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B8EE-4699-80BB-7EB56413EB19}"/>
              </c:ext>
            </c:extLst>
          </c:dPt>
          <c:dPt>
            <c:idx val="4"/>
            <c:bubble3D val="0"/>
            <c:spPr>
              <a:solidFill>
                <a:schemeClr val="accent4">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6-B8EE-4699-80BB-7EB56413EB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'Porsche Pivot Analysis'!$A$59:$A$64</c:f>
              <c:strCache>
                <c:ptCount val="5"/>
                <c:pt idx="0">
                  <c:v>911 Carrera</c:v>
                </c:pt>
                <c:pt idx="1">
                  <c:v>Cayenne</c:v>
                </c:pt>
                <c:pt idx="2">
                  <c:v>Macan</c:v>
                </c:pt>
                <c:pt idx="3">
                  <c:v>Panamera</c:v>
                </c:pt>
                <c:pt idx="4">
                  <c:v>Taycan</c:v>
                </c:pt>
              </c:strCache>
            </c:strRef>
          </c:cat>
          <c:val>
            <c:numRef>
              <c:f>'Porsche Pivot Analysis'!$B$59:$B$64</c:f>
              <c:numCache>
                <c:formatCode>General</c:formatCode>
                <c:ptCount val="5"/>
                <c:pt idx="0">
                  <c:v>4.1170731707317074</c:v>
                </c:pt>
                <c:pt idx="1">
                  <c:v>4.009615384615385</c:v>
                </c:pt>
                <c:pt idx="2">
                  <c:v>4.0977011494252871</c:v>
                </c:pt>
                <c:pt idx="3">
                  <c:v>3.9150943396226414</c:v>
                </c:pt>
                <c:pt idx="4">
                  <c:v>4.0049751243781095</c:v>
                </c:pt>
              </c:numCache>
            </c:numRef>
          </c:val>
          <c:extLst>
            <c:ext xmlns:c16="http://schemas.microsoft.com/office/drawing/2014/chart" uri="{C3380CC4-5D6E-409C-BE32-E72D297353CC}">
              <c16:uniqueId val="{00000000-B8EE-4699-80BB-7EB56413EB19}"/>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[Rabiya_ProjectRepot_Excel__.xlsx]Porsche Pivot Analysis!PivotTable15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latin typeface="Times New Roman" panose="02020603050405020304" pitchFamily="18" charset="0"/>
                <a:cs typeface="Times New Roman" panose="02020603050405020304" pitchFamily="18" charset="0"/>
              </a:rPr>
              <a:t>Model vs Region Sales Matrix</a:t>
            </a:r>
            <a:endParaRPr lang="en-IN" sz="11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'Porsche Pivot Analysis'!$B$82:$B$83</c:f>
              <c:strCache>
                <c:ptCount val="1"/>
                <c:pt idx="0">
                  <c:v>Bangalore</c:v>
                </c:pt>
              </c:strCache>
            </c:strRef>
          </c:tx>
          <c:spPr>
            <a:solidFill>
              <a:schemeClr val="accent4">
                <a:shade val="53000"/>
              </a:schemeClr>
            </a:solidFill>
            <a:ln>
              <a:noFill/>
            </a:ln>
            <a:effectLst/>
            <a:sp3d/>
          </c:spPr>
          <c:invertIfNegative val="0"/>
          <c:cat>
            <c:strRef>
              <c:f>'Porsche Pivot Analysis'!$A$84:$A$89</c:f>
              <c:strCache>
                <c:ptCount val="5"/>
                <c:pt idx="0">
                  <c:v>911 Carrera</c:v>
                </c:pt>
                <c:pt idx="1">
                  <c:v>Cayenne</c:v>
                </c:pt>
                <c:pt idx="2">
                  <c:v>Macan</c:v>
                </c:pt>
                <c:pt idx="3">
                  <c:v>Panamera</c:v>
                </c:pt>
                <c:pt idx="4">
                  <c:v>Taycan</c:v>
                </c:pt>
              </c:strCache>
            </c:strRef>
          </c:cat>
          <c:val>
            <c:numRef>
              <c:f>'Porsche Pivot Analysis'!$B$84:$B$89</c:f>
              <c:numCache>
                <c:formatCode>General</c:formatCode>
                <c:ptCount val="5"/>
                <c:pt idx="0">
                  <c:v>1536480000</c:v>
                </c:pt>
                <c:pt idx="1">
                  <c:v>1675500000</c:v>
                </c:pt>
                <c:pt idx="2">
                  <c:v>503550000</c:v>
                </c:pt>
                <c:pt idx="3">
                  <c:v>1641600000</c:v>
                </c:pt>
                <c:pt idx="4">
                  <c:v>1587970000</c:v>
                </c:pt>
              </c:numCache>
            </c:numRef>
          </c:val>
          <c:extLst>
            <c:ext xmlns:c16="http://schemas.microsoft.com/office/drawing/2014/chart" uri="{C3380CC4-5D6E-409C-BE32-E72D297353CC}">
              <c16:uniqueId val="{00000000-B411-42DC-AAD5-913C9BD5DE21}"/>
            </c:ext>
          </c:extLst>
        </c:ser>
        <c:ser>
          <c:idx val="1"/>
          <c:order val="1"/>
          <c:tx>
            <c:strRef>
              <c:f>'Porsche Pivot Analysis'!$C$82:$C$83</c:f>
              <c:strCache>
                <c:ptCount val="1"/>
                <c:pt idx="0">
                  <c:v>Chennai</c:v>
                </c:pt>
              </c:strCache>
            </c:strRef>
          </c:tx>
          <c:spPr>
            <a:solidFill>
              <a:schemeClr val="accent4">
                <a:shade val="76000"/>
              </a:schemeClr>
            </a:solidFill>
            <a:ln>
              <a:noFill/>
            </a:ln>
            <a:effectLst/>
            <a:sp3d/>
          </c:spPr>
          <c:invertIfNegative val="0"/>
          <c:cat>
            <c:strRef>
              <c:f>'Porsche Pivot Analysis'!$A$84:$A$89</c:f>
              <c:strCache>
                <c:ptCount val="5"/>
                <c:pt idx="0">
                  <c:v>911 Carrera</c:v>
                </c:pt>
                <c:pt idx="1">
                  <c:v>Cayenne</c:v>
                </c:pt>
                <c:pt idx="2">
                  <c:v>Macan</c:v>
                </c:pt>
                <c:pt idx="3">
                  <c:v>Panamera</c:v>
                </c:pt>
                <c:pt idx="4">
                  <c:v>Taycan</c:v>
                </c:pt>
              </c:strCache>
            </c:strRef>
          </c:cat>
          <c:val>
            <c:numRef>
              <c:f>'Porsche Pivot Analysis'!$C$84:$C$89</c:f>
              <c:numCache>
                <c:formatCode>General</c:formatCode>
                <c:ptCount val="5"/>
                <c:pt idx="0">
                  <c:v>1775340000</c:v>
                </c:pt>
                <c:pt idx="1">
                  <c:v>1800750000</c:v>
                </c:pt>
                <c:pt idx="2">
                  <c:v>717210000</c:v>
                </c:pt>
                <c:pt idx="3">
                  <c:v>1581440000</c:v>
                </c:pt>
                <c:pt idx="4">
                  <c:v>1465230000</c:v>
                </c:pt>
              </c:numCache>
            </c:numRef>
          </c:val>
          <c:extLst>
            <c:ext xmlns:c16="http://schemas.microsoft.com/office/drawing/2014/chart" uri="{C3380CC4-5D6E-409C-BE32-E72D297353CC}">
              <c16:uniqueId val="{00000000-32AA-4493-BE55-70CC8ED88E72}"/>
            </c:ext>
          </c:extLst>
        </c:ser>
        <c:ser>
          <c:idx val="2"/>
          <c:order val="2"/>
          <c:tx>
            <c:strRef>
              <c:f>'Porsche Pivot Analysis'!$D$82:$D$83</c:f>
              <c:strCache>
                <c:ptCount val="1"/>
                <c:pt idx="0">
                  <c:v>Delhi</c:v>
                </c:pt>
              </c:strCache>
            </c:strRef>
          </c:tx>
          <c:spPr>
            <a:solidFill>
              <a:schemeClr val="accent4"/>
            </a:solidFill>
            <a:ln>
              <a:noFill/>
            </a:ln>
            <a:effectLst/>
            <a:sp3d/>
          </c:spPr>
          <c:invertIfNegative val="0"/>
          <c:cat>
            <c:strRef>
              <c:f>'Porsche Pivot Analysis'!$A$84:$A$89</c:f>
              <c:strCache>
                <c:ptCount val="5"/>
                <c:pt idx="0">
                  <c:v>911 Carrera</c:v>
                </c:pt>
                <c:pt idx="1">
                  <c:v>Cayenne</c:v>
                </c:pt>
                <c:pt idx="2">
                  <c:v>Macan</c:v>
                </c:pt>
                <c:pt idx="3">
                  <c:v>Panamera</c:v>
                </c:pt>
                <c:pt idx="4">
                  <c:v>Taycan</c:v>
                </c:pt>
              </c:strCache>
            </c:strRef>
          </c:cat>
          <c:val>
            <c:numRef>
              <c:f>'Porsche Pivot Analysis'!$D$84:$D$89</c:f>
              <c:numCache>
                <c:formatCode>General</c:formatCode>
                <c:ptCount val="5"/>
                <c:pt idx="0">
                  <c:v>1722240000</c:v>
                </c:pt>
                <c:pt idx="1">
                  <c:v>1567500000</c:v>
                </c:pt>
                <c:pt idx="2">
                  <c:v>934290000</c:v>
                </c:pt>
                <c:pt idx="3">
                  <c:v>1913600000</c:v>
                </c:pt>
                <c:pt idx="4">
                  <c:v>1876120000</c:v>
                </c:pt>
              </c:numCache>
            </c:numRef>
          </c:val>
          <c:extLst>
            <c:ext xmlns:c16="http://schemas.microsoft.com/office/drawing/2014/chart" uri="{C3380CC4-5D6E-409C-BE32-E72D297353CC}">
              <c16:uniqueId val="{00000001-32AA-4493-BE55-70CC8ED88E72}"/>
            </c:ext>
          </c:extLst>
        </c:ser>
        <c:ser>
          <c:idx val="3"/>
          <c:order val="3"/>
          <c:tx>
            <c:strRef>
              <c:f>'Porsche Pivot Analysis'!$E$82:$E$83</c:f>
              <c:strCache>
                <c:ptCount val="1"/>
                <c:pt idx="0">
                  <c:v>Hyderabad</c:v>
                </c:pt>
              </c:strCache>
            </c:strRef>
          </c:tx>
          <c:spPr>
            <a:solidFill>
              <a:schemeClr val="accent4">
                <a:tint val="77000"/>
              </a:schemeClr>
            </a:solidFill>
            <a:ln>
              <a:noFill/>
            </a:ln>
            <a:effectLst/>
            <a:sp3d/>
          </c:spPr>
          <c:invertIfNegative val="0"/>
          <c:cat>
            <c:strRef>
              <c:f>'Porsche Pivot Analysis'!$A$84:$A$89</c:f>
              <c:strCache>
                <c:ptCount val="5"/>
                <c:pt idx="0">
                  <c:v>911 Carrera</c:v>
                </c:pt>
                <c:pt idx="1">
                  <c:v>Cayenne</c:v>
                </c:pt>
                <c:pt idx="2">
                  <c:v>Macan</c:v>
                </c:pt>
                <c:pt idx="3">
                  <c:v>Panamera</c:v>
                </c:pt>
                <c:pt idx="4">
                  <c:v>Taycan</c:v>
                </c:pt>
              </c:strCache>
            </c:strRef>
          </c:cat>
          <c:val>
            <c:numRef>
              <c:f>'Porsche Pivot Analysis'!$E$84:$E$89</c:f>
              <c:numCache>
                <c:formatCode>General</c:formatCode>
                <c:ptCount val="5"/>
                <c:pt idx="0">
                  <c:v>1920240000</c:v>
                </c:pt>
                <c:pt idx="1">
                  <c:v>1698750000</c:v>
                </c:pt>
                <c:pt idx="2">
                  <c:v>886680000</c:v>
                </c:pt>
                <c:pt idx="3">
                  <c:v>1612960000</c:v>
                </c:pt>
                <c:pt idx="4">
                  <c:v>1153280000</c:v>
                </c:pt>
              </c:numCache>
            </c:numRef>
          </c:val>
          <c:extLst>
            <c:ext xmlns:c16="http://schemas.microsoft.com/office/drawing/2014/chart" uri="{C3380CC4-5D6E-409C-BE32-E72D297353CC}">
              <c16:uniqueId val="{00000002-32AA-4493-BE55-70CC8ED88E72}"/>
            </c:ext>
          </c:extLst>
        </c:ser>
        <c:ser>
          <c:idx val="4"/>
          <c:order val="4"/>
          <c:tx>
            <c:strRef>
              <c:f>'Porsche Pivot Analysis'!$F$82:$F$83</c:f>
              <c:strCache>
                <c:ptCount val="1"/>
                <c:pt idx="0">
                  <c:v>Mumbai</c:v>
                </c:pt>
              </c:strCache>
            </c:strRef>
          </c:tx>
          <c:spPr>
            <a:solidFill>
              <a:schemeClr val="accent4">
                <a:tint val="54000"/>
              </a:schemeClr>
            </a:solidFill>
            <a:ln>
              <a:noFill/>
            </a:ln>
            <a:effectLst/>
            <a:sp3d/>
          </c:spPr>
          <c:invertIfNegative val="0"/>
          <c:cat>
            <c:strRef>
              <c:f>'Porsche Pivot Analysis'!$A$84:$A$89</c:f>
              <c:strCache>
                <c:ptCount val="5"/>
                <c:pt idx="0">
                  <c:v>911 Carrera</c:v>
                </c:pt>
                <c:pt idx="1">
                  <c:v>Cayenne</c:v>
                </c:pt>
                <c:pt idx="2">
                  <c:v>Macan</c:v>
                </c:pt>
                <c:pt idx="3">
                  <c:v>Panamera</c:v>
                </c:pt>
                <c:pt idx="4">
                  <c:v>Taycan</c:v>
                </c:pt>
              </c:strCache>
            </c:strRef>
          </c:cat>
          <c:val>
            <c:numRef>
              <c:f>'Porsche Pivot Analysis'!$F$84:$F$89</c:f>
              <c:numCache>
                <c:formatCode>General</c:formatCode>
                <c:ptCount val="5"/>
                <c:pt idx="0">
                  <c:v>1898460000</c:v>
                </c:pt>
                <c:pt idx="1">
                  <c:v>1136250000</c:v>
                </c:pt>
                <c:pt idx="2">
                  <c:v>645840000</c:v>
                </c:pt>
                <c:pt idx="3">
                  <c:v>1521440000</c:v>
                </c:pt>
                <c:pt idx="4">
                  <c:v>1988830000</c:v>
                </c:pt>
              </c:numCache>
            </c:numRef>
          </c:val>
          <c:extLst>
            <c:ext xmlns:c16="http://schemas.microsoft.com/office/drawing/2014/chart" uri="{C3380CC4-5D6E-409C-BE32-E72D297353CC}">
              <c16:uniqueId val="{00000003-32AA-4493-BE55-70CC8ED88E72}"/>
            </c:ext>
          </c:extLst>
        </c:ser>
        <c:dLbls>
          <c:showLegendKey val="0"/>
          <c:showVal val="0"/>
          <c:showCatName val="0"/>
          <c:showSerName val="0"/>
          <c:showPercent val="0"/>
          <c:showBubbleSize val="0"/>
        </c:dLbls>
        <c:gapWidth val="150"/>
        <c:shape val="box"/>
        <c:axId val="1395313631"/>
        <c:axId val="1395317951"/>
        <c:axId val="0"/>
      </c:bar3DChart>
      <c:catAx>
        <c:axId val="1395313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317951"/>
        <c:crosses val="autoZero"/>
        <c:auto val="1"/>
        <c:lblAlgn val="ctr"/>
        <c:lblOffset val="100"/>
        <c:noMultiLvlLbl val="0"/>
      </c:catAx>
      <c:valAx>
        <c:axId val="1395317951"/>
        <c:scaling>
          <c:orientation val="minMax"/>
        </c:scaling>
        <c:delete val="1"/>
        <c:axPos val="b"/>
        <c:numFmt formatCode="General" sourceLinked="1"/>
        <c:majorTickMark val="none"/>
        <c:minorTickMark val="none"/>
        <c:tickLblPos val="nextTo"/>
        <c:crossAx val="139531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[Rabiya_ProjectRepot_Excel__.xlsx]Porsche Pivot Analysis!PivotTable16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100" b="1" i="0" u="none" strike="noStrike" baseline="0">
                <a:solidFill>
                  <a:schemeClr val="tx1">
                    <a:lumMod val="65000"/>
                    <a:lumOff val="35000"/>
                  </a:schemeClr>
                </a:solidFill>
                <a:latin typeface="Times New Roman" panose="02020603050405020304" pitchFamily="18" charset="0"/>
                <a:cs typeface="Times New Roman" panose="02020603050405020304" pitchFamily="18" charset="0"/>
              </a:rPr>
              <a:t>Region-wise Sales Volume Analysis</a:t>
            </a:r>
            <a:endParaRPr lang="en-US" sz="1100">
              <a:solidFill>
                <a:schemeClr val="tx1">
                  <a:lumMod val="65000"/>
                  <a:lumOff val="35000"/>
                </a:schemeClr>
              </a:solidFill>
              <a:latin typeface="Times New Roman" panose="02020603050405020304" pitchFamily="18" charset="0"/>
              <a:cs typeface="Times New Roman" panose="02020603050405020304" pitchFamily="18" charset="0"/>
            </a:endParaRPr>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3000"/>
                  <a:shade val="51000"/>
                  <a:satMod val="130000"/>
                </a:schemeClr>
              </a:gs>
              <a:gs pos="80000">
                <a:schemeClr val="accent4">
                  <a:shade val="53000"/>
                  <a:shade val="93000"/>
                  <a:satMod val="130000"/>
                </a:schemeClr>
              </a:gs>
              <a:gs pos="100000">
                <a:schemeClr val="accent4">
                  <a:shade val="5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4">
                  <a:tint val="54000"/>
                  <a:shade val="51000"/>
                  <a:satMod val="130000"/>
                </a:schemeClr>
              </a:gs>
              <a:gs pos="80000">
                <a:schemeClr val="accent4">
                  <a:tint val="54000"/>
                  <a:shade val="93000"/>
                  <a:satMod val="130000"/>
                </a:schemeClr>
              </a:gs>
              <a:gs pos="100000">
                <a:schemeClr val="accent4">
                  <a:tint val="54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ofPieChart>
        <c:ofPieType val="pie"/>
        <c:varyColors val="1"/>
        <c:ser>
          <c:idx val="0"/>
          <c:order val="0"/>
          <c:tx>
            <c:strRef>
              <c:f>'Porsche Pivot Analysis'!$B$91</c:f>
              <c:strCache>
                <c:ptCount val="1"/>
                <c:pt idx="0">
                  <c:v>Total</c:v>
                </c:pt>
              </c:strCache>
            </c:strRef>
          </c:tx>
          <c:dPt>
            <c:idx val="0"/>
            <c:bubble3D val="0"/>
            <c:spPr>
              <a:gradFill rotWithShape="1">
                <a:gsLst>
                  <a:gs pos="0">
                    <a:schemeClr val="accent4">
                      <a:shade val="53000"/>
                      <a:shade val="51000"/>
                      <a:satMod val="130000"/>
                    </a:schemeClr>
                  </a:gs>
                  <a:gs pos="80000">
                    <a:schemeClr val="accent4">
                      <a:shade val="53000"/>
                      <a:shade val="93000"/>
                      <a:satMod val="130000"/>
                    </a:schemeClr>
                  </a:gs>
                  <a:gs pos="100000">
                    <a:schemeClr val="accent4">
                      <a:shade val="53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831-45FD-A79D-CDAEB8257AF1}"/>
              </c:ext>
            </c:extLst>
          </c:dPt>
          <c:dPt>
            <c:idx val="1"/>
            <c:bubble3D val="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831-45FD-A79D-CDAEB8257AF1}"/>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831-45FD-A79D-CDAEB8257AF1}"/>
              </c:ext>
            </c:extLst>
          </c:dPt>
          <c:dPt>
            <c:idx val="3"/>
            <c:bubble3D val="0"/>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E831-45FD-A79D-CDAEB8257AF1}"/>
              </c:ext>
            </c:extLst>
          </c:dPt>
          <c:dPt>
            <c:idx val="4"/>
            <c:bubble3D val="0"/>
            <c:spPr>
              <a:gradFill rotWithShape="1">
                <a:gsLst>
                  <a:gs pos="0">
                    <a:schemeClr val="accent4">
                      <a:tint val="54000"/>
                      <a:shade val="51000"/>
                      <a:satMod val="130000"/>
                    </a:schemeClr>
                  </a:gs>
                  <a:gs pos="80000">
                    <a:schemeClr val="accent4">
                      <a:tint val="54000"/>
                      <a:shade val="93000"/>
                      <a:satMod val="130000"/>
                    </a:schemeClr>
                  </a:gs>
                  <a:gs pos="100000">
                    <a:schemeClr val="accent4">
                      <a:tint val="54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E831-45FD-A79D-CDAEB8257AF1}"/>
              </c:ext>
            </c:extLst>
          </c:dPt>
          <c:dPt>
            <c:idx val="5"/>
            <c:bubble3D val="0"/>
            <c:spPr>
              <a:gradFill rotWithShape="1">
                <a:gsLst>
                  <a:gs pos="0">
                    <a:schemeClr val="accent4">
                      <a:tint val="30000"/>
                      <a:shade val="51000"/>
                      <a:satMod val="130000"/>
                    </a:schemeClr>
                  </a:gs>
                  <a:gs pos="80000">
                    <a:schemeClr val="accent4">
                      <a:tint val="30000"/>
                      <a:shade val="93000"/>
                      <a:satMod val="130000"/>
                    </a:schemeClr>
                  </a:gs>
                  <a:gs pos="100000">
                    <a:schemeClr val="accent4">
                      <a:tint val="3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E831-45FD-A79D-CDAEB8257AF1}"/>
              </c:ext>
            </c:extLst>
          </c:dPt>
          <c:cat>
            <c:strRef>
              <c:f>'Porsche Pivot Analysis'!$A$92:$A$97</c:f>
              <c:strCache>
                <c:ptCount val="5"/>
                <c:pt idx="0">
                  <c:v>Bangalore</c:v>
                </c:pt>
                <c:pt idx="1">
                  <c:v>Chennai</c:v>
                </c:pt>
                <c:pt idx="2">
                  <c:v>Delhi</c:v>
                </c:pt>
                <c:pt idx="3">
                  <c:v>Hyderabad</c:v>
                </c:pt>
                <c:pt idx="4">
                  <c:v>Mumbai</c:v>
                </c:pt>
              </c:strCache>
            </c:strRef>
          </c:cat>
          <c:val>
            <c:numRef>
              <c:f>'Porsche Pivot Analysis'!$B$92:$B$97</c:f>
              <c:numCache>
                <c:formatCode>General</c:formatCode>
                <c:ptCount val="5"/>
                <c:pt idx="0">
                  <c:v>467</c:v>
                </c:pt>
                <c:pt idx="1">
                  <c:v>504</c:v>
                </c:pt>
                <c:pt idx="2">
                  <c:v>556</c:v>
                </c:pt>
                <c:pt idx="3">
                  <c:v>508</c:v>
                </c:pt>
                <c:pt idx="4">
                  <c:v>485</c:v>
                </c:pt>
              </c:numCache>
            </c:numRef>
          </c:val>
          <c:extLst>
            <c:ext xmlns:c16="http://schemas.microsoft.com/office/drawing/2014/chart" uri="{C3380CC4-5D6E-409C-BE32-E72D297353CC}">
              <c16:uniqueId val="{00000000-E036-41BB-A69A-C1969093CDB7}"/>
            </c:ext>
          </c:extLst>
        </c:ser>
        <c:dLbls>
          <c:showLegendKey val="0"/>
          <c:showVal val="0"/>
          <c:showCatName val="0"/>
          <c:showSerName val="0"/>
          <c:showPercent val="0"/>
          <c:showBubbleSize val="0"/>
          <c:showLeaderLines val="1"/>
        </c:dLbls>
        <c:gapWidth val="100"/>
        <c:secondPieSize val="75"/>
        <c:serLines>
          <c:spPr>
            <a:ln w="9525">
              <a:solidFill>
                <a:schemeClr val="tx2">
                  <a:lumMod val="60000"/>
                  <a:lumOff val="40000"/>
                </a:schemeClr>
              </a:solidFill>
              <a:prstDash val="dash"/>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[Rabiya_ProjectRepot_Excel__.xlsx]Porsche Pivot Analysis!PivotTable29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latin typeface="Times New Roman" panose="02020603050405020304" pitchFamily="18" charset="0"/>
                <a:cs typeface="Times New Roman" panose="02020603050405020304" pitchFamily="18" charset="0"/>
              </a:rPr>
              <a:t>Model-wise Cost Analysis</a:t>
            </a:r>
            <a:endParaRPr lang="en-US" sz="11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'Porsche Pivot Analysis'!$B$128</c:f>
              <c:strCache>
                <c:ptCount val="1"/>
                <c:pt idx="0">
                  <c:v>Total</c:v>
                </c:pt>
              </c:strCache>
            </c:strRef>
          </c:tx>
          <c:spPr>
            <a:solidFill>
              <a:schemeClr val="accent4"/>
            </a:solidFill>
            <a:ln>
              <a:noFill/>
            </a:ln>
            <a:effectLst/>
          </c:spPr>
          <c:invertIfNegative val="0"/>
          <c:cat>
            <c:strRef>
              <c:f>'Porsche Pivot Analysis'!$A$129:$A$134</c:f>
              <c:strCache>
                <c:ptCount val="5"/>
                <c:pt idx="0">
                  <c:v>911 Carrera</c:v>
                </c:pt>
                <c:pt idx="1">
                  <c:v>Cayenne</c:v>
                </c:pt>
                <c:pt idx="2">
                  <c:v>Macan</c:v>
                </c:pt>
                <c:pt idx="3">
                  <c:v>Panamera</c:v>
                </c:pt>
                <c:pt idx="4">
                  <c:v>Taycan</c:v>
                </c:pt>
              </c:strCache>
            </c:strRef>
          </c:cat>
          <c:val>
            <c:numRef>
              <c:f>'Porsche Pivot Analysis'!$B$129:$B$134</c:f>
              <c:numCache>
                <c:formatCode>General</c:formatCode>
                <c:ptCount val="5"/>
                <c:pt idx="0">
                  <c:v>7387200000</c:v>
                </c:pt>
                <c:pt idx="1">
                  <c:v>6564000000</c:v>
                </c:pt>
                <c:pt idx="2">
                  <c:v>3074400000</c:v>
                </c:pt>
                <c:pt idx="3">
                  <c:v>6886400000</c:v>
                </c:pt>
                <c:pt idx="4">
                  <c:v>6732000000</c:v>
                </c:pt>
              </c:numCache>
            </c:numRef>
          </c:val>
          <c:extLst>
            <c:ext xmlns:c16="http://schemas.microsoft.com/office/drawing/2014/chart" uri="{C3380CC4-5D6E-409C-BE32-E72D297353CC}">
              <c16:uniqueId val="{00000000-500F-4D12-B084-936AD0E80072}"/>
            </c:ext>
          </c:extLst>
        </c:ser>
        <c:dLbls>
          <c:showLegendKey val="0"/>
          <c:showVal val="0"/>
          <c:showCatName val="0"/>
          <c:showSerName val="0"/>
          <c:showPercent val="0"/>
          <c:showBubbleSize val="0"/>
        </c:dLbls>
        <c:gapWidth val="219"/>
        <c:overlap val="-27"/>
        <c:axId val="388160959"/>
        <c:axId val="388161919"/>
      </c:barChart>
      <c:catAx>
        <c:axId val="38816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61919"/>
        <c:crosses val="autoZero"/>
        <c:auto val="1"/>
        <c:lblAlgn val="ctr"/>
        <c:lblOffset val="100"/>
        <c:noMultiLvlLbl val="0"/>
      </c:catAx>
      <c:valAx>
        <c:axId val="388161919"/>
        <c:scaling>
          <c:orientation val="minMax"/>
        </c:scaling>
        <c:delete val="1"/>
        <c:axPos val="l"/>
        <c:numFmt formatCode="General" sourceLinked="1"/>
        <c:majorTickMark val="none"/>
        <c:minorTickMark val="none"/>
        <c:tickLblPos val="nextTo"/>
        <c:crossAx val="38816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[Rabiya_ProjectRepot_Excel__.xlsx]Porsche Pivot 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latin typeface="Times New Roman" panose="02020603050405020304" pitchFamily="18" charset="0"/>
                <a:cs typeface="Times New Roman" panose="02020603050405020304" pitchFamily="18" charset="0"/>
              </a:rPr>
              <a:t>Region-wise Profit Performance</a:t>
            </a:r>
            <a:endParaRPr lang="en-US" sz="11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'Porsche Pivot Analysis'!$B$50</c:f>
              <c:strCache>
                <c:ptCount val="1"/>
                <c:pt idx="0">
                  <c:v>Total</c:v>
                </c:pt>
              </c:strCache>
            </c:strRef>
          </c:tx>
          <c:spPr>
            <a:solidFill>
              <a:schemeClr val="accent4"/>
            </a:solidFill>
            <a:ln>
              <a:noFill/>
            </a:ln>
            <a:effectLst/>
            <a:sp3d/>
          </c:spPr>
          <c:invertIfNegative val="0"/>
          <c:cat>
            <c:strRef>
              <c:f>'Porsche Pivot Analysis'!$A$51:$A$56</c:f>
              <c:strCache>
                <c:ptCount val="5"/>
                <c:pt idx="0">
                  <c:v>Delhi</c:v>
                </c:pt>
                <c:pt idx="1">
                  <c:v>Chennai</c:v>
                </c:pt>
                <c:pt idx="2">
                  <c:v>Hyderabad</c:v>
                </c:pt>
                <c:pt idx="3">
                  <c:v>Mumbai</c:v>
                </c:pt>
                <c:pt idx="4">
                  <c:v>Bangalore</c:v>
                </c:pt>
              </c:strCache>
            </c:strRef>
          </c:cat>
          <c:val>
            <c:numRef>
              <c:f>'Porsche Pivot Analysis'!$B$51:$B$56</c:f>
              <c:numCache>
                <c:formatCode>General</c:formatCode>
                <c:ptCount val="5"/>
                <c:pt idx="0">
                  <c:v>1336950000</c:v>
                </c:pt>
                <c:pt idx="1">
                  <c:v>1216770000</c:v>
                </c:pt>
                <c:pt idx="2">
                  <c:v>1206310000</c:v>
                </c:pt>
                <c:pt idx="3">
                  <c:v>1192420000</c:v>
                </c:pt>
                <c:pt idx="4">
                  <c:v>1165100000</c:v>
                </c:pt>
              </c:numCache>
            </c:numRef>
          </c:val>
          <c:extLst>
            <c:ext xmlns:c16="http://schemas.microsoft.com/office/drawing/2014/chart" uri="{C3380CC4-5D6E-409C-BE32-E72D297353CC}">
              <c16:uniqueId val="{00000000-2EBF-4244-BC83-F18A32EFA52C}"/>
            </c:ext>
          </c:extLst>
        </c:ser>
        <c:dLbls>
          <c:showLegendKey val="0"/>
          <c:showVal val="0"/>
          <c:showCatName val="0"/>
          <c:showSerName val="0"/>
          <c:showPercent val="0"/>
          <c:showBubbleSize val="0"/>
        </c:dLbls>
        <c:gapWidth val="150"/>
        <c:shape val="box"/>
        <c:axId val="1770788847"/>
        <c:axId val="1770791727"/>
        <c:axId val="0"/>
      </c:bar3DChart>
      <c:catAx>
        <c:axId val="1770788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791727"/>
        <c:crosses val="autoZero"/>
        <c:auto val="1"/>
        <c:lblAlgn val="ctr"/>
        <c:lblOffset val="100"/>
        <c:noMultiLvlLbl val="0"/>
      </c:catAx>
      <c:valAx>
        <c:axId val="1770791727"/>
        <c:scaling>
          <c:orientation val="minMax"/>
        </c:scaling>
        <c:delete val="1"/>
        <c:axPos val="l"/>
        <c:numFmt formatCode="General" sourceLinked="1"/>
        <c:majorTickMark val="none"/>
        <c:minorTickMark val="none"/>
        <c:tickLblPos val="nextTo"/>
        <c:crossAx val="177078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[Rabiya_ProjectRepot_Excel__.xlsx]Porsche Pivot Analysis!PivotTable10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baseline="0">
                <a:solidFill>
                  <a:srgbClr val="680000"/>
                </a:solidFill>
                <a:latin typeface="Times New Roman" panose="02020603050405020304" pitchFamily="18" charset="0"/>
                <a:cs typeface="Times New Roman" panose="02020603050405020304" pitchFamily="18" charset="0"/>
              </a:rPr>
              <a:t>Monthly Revenue Trend Analysis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
        <c:idx val="9"/>
        <c:spPr>
          <a:solidFill>
            <a:schemeClr val="dk1">
              <a:tint val="88500"/>
            </a:schemeClr>
          </a:solidFill>
          <a:ln w="19050">
            <a:solidFill>
              <a:schemeClr val="lt1"/>
            </a:solidFill>
          </a:ln>
          <a:effectLst/>
        </c:spPr>
      </c:pivotFmt>
      <c:pivotFmt>
        <c:idx val="10"/>
        <c:spPr>
          <a:solidFill>
            <a:schemeClr val="dk1">
              <a:tint val="88500"/>
            </a:schemeClr>
          </a:solidFill>
          <a:ln w="19050">
            <a:solidFill>
              <a:schemeClr val="lt1"/>
            </a:solidFill>
          </a:ln>
          <a:effectLst/>
        </c:spPr>
      </c:pivotFmt>
      <c:pivotFmt>
        <c:idx val="11"/>
        <c:spPr>
          <a:solidFill>
            <a:schemeClr val="dk1">
              <a:tint val="88500"/>
            </a:schemeClr>
          </a:solidFill>
          <a:ln w="19050">
            <a:solidFill>
              <a:schemeClr val="lt1"/>
            </a:solidFill>
          </a:ln>
          <a:effectLst/>
        </c:spPr>
      </c:pivotFmt>
      <c:pivotFmt>
        <c:idx val="12"/>
        <c:spPr>
          <a:solidFill>
            <a:schemeClr val="dk1">
              <a:tint val="88500"/>
            </a:schemeClr>
          </a:solidFill>
          <a:ln w="19050">
            <a:solidFill>
              <a:schemeClr val="lt1"/>
            </a:solidFill>
          </a:ln>
          <a:effectLst/>
        </c:spPr>
      </c:pivotFmt>
    </c:pivotFmts>
    <c:plotArea>
      <c:layout/>
      <c:pieChart>
        <c:varyColors val="1"/>
        <c:ser>
          <c:idx val="0"/>
          <c:order val="0"/>
          <c:tx>
            <c:strRef>
              <c:f>'Porsche Pivot Analysis'!$B$35</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A69D-4B5D-845C-420DD9D8E276}"/>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A69D-4B5D-845C-420DD9D8E276}"/>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A69D-4B5D-845C-420DD9D8E276}"/>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7-A69D-4B5D-845C-420DD9D8E276}"/>
              </c:ext>
            </c:extLst>
          </c:dPt>
          <c:dPt>
            <c:idx val="4"/>
            <c:bubble3D val="0"/>
            <c:spPr>
              <a:solidFill>
                <a:schemeClr val="dk1">
                  <a:tint val="30000"/>
                </a:schemeClr>
              </a:solidFill>
              <a:ln w="19050">
                <a:solidFill>
                  <a:schemeClr val="lt1"/>
                </a:solidFill>
              </a:ln>
              <a:effectLst/>
            </c:spPr>
            <c:extLst>
              <c:ext xmlns:c16="http://schemas.microsoft.com/office/drawing/2014/chart" uri="{C3380CC4-5D6E-409C-BE32-E72D297353CC}">
                <c16:uniqueId val="{00000009-A69D-4B5D-845C-420DD9D8E276}"/>
              </c:ext>
            </c:extLst>
          </c:dPt>
          <c:dPt>
            <c:idx val="5"/>
            <c:bubble3D val="0"/>
            <c:spPr>
              <a:solidFill>
                <a:schemeClr val="dk1">
                  <a:tint val="60000"/>
                </a:schemeClr>
              </a:solidFill>
              <a:ln w="19050">
                <a:solidFill>
                  <a:schemeClr val="lt1"/>
                </a:solidFill>
              </a:ln>
              <a:effectLst/>
            </c:spPr>
            <c:extLst>
              <c:ext xmlns:c16="http://schemas.microsoft.com/office/drawing/2014/chart" uri="{C3380CC4-5D6E-409C-BE32-E72D297353CC}">
                <c16:uniqueId val="{0000000B-A69D-4B5D-845C-420DD9D8E276}"/>
              </c:ext>
            </c:extLst>
          </c:dPt>
          <c:dPt>
            <c:idx val="6"/>
            <c:bubble3D val="0"/>
            <c:spPr>
              <a:solidFill>
                <a:schemeClr val="dk1">
                  <a:tint val="80000"/>
                </a:schemeClr>
              </a:solidFill>
              <a:ln w="19050">
                <a:solidFill>
                  <a:schemeClr val="lt1"/>
                </a:solidFill>
              </a:ln>
              <a:effectLst/>
            </c:spPr>
            <c:extLst>
              <c:ext xmlns:c16="http://schemas.microsoft.com/office/drawing/2014/chart" uri="{C3380CC4-5D6E-409C-BE32-E72D297353CC}">
                <c16:uniqueId val="{0000000D-A69D-4B5D-845C-420DD9D8E276}"/>
              </c:ext>
            </c:extLst>
          </c:dPt>
          <c:dPt>
            <c:idx val="7"/>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F-A69D-4B5D-845C-420DD9D8E276}"/>
              </c:ext>
            </c:extLst>
          </c:dPt>
          <c:dPt>
            <c:idx val="8"/>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11-A69D-4B5D-845C-420DD9D8E276}"/>
              </c:ext>
            </c:extLst>
          </c:dPt>
          <c:dPt>
            <c:idx val="9"/>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13-A69D-4B5D-845C-420DD9D8E276}"/>
              </c:ext>
            </c:extLst>
          </c:dPt>
          <c:dPt>
            <c:idx val="10"/>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15-A69D-4B5D-845C-420DD9D8E276}"/>
              </c:ext>
            </c:extLst>
          </c:dPt>
          <c:dPt>
            <c:idx val="11"/>
            <c:bubble3D val="0"/>
            <c:spPr>
              <a:solidFill>
                <a:schemeClr val="dk1">
                  <a:tint val="30000"/>
                </a:schemeClr>
              </a:solidFill>
              <a:ln w="19050">
                <a:solidFill>
                  <a:schemeClr val="lt1"/>
                </a:solidFill>
              </a:ln>
              <a:effectLst/>
            </c:spPr>
            <c:extLst>
              <c:ext xmlns:c16="http://schemas.microsoft.com/office/drawing/2014/chart" uri="{C3380CC4-5D6E-409C-BE32-E72D297353CC}">
                <c16:uniqueId val="{00000017-A69D-4B5D-845C-420DD9D8E2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'Porsche Pivot Analysis'!$A$36:$A$48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'Porsche Pivot Analysis'!$B$36:$B$48</c:f>
              <c:numCache>
                <c:formatCode>General</c:formatCode>
                <c:ptCount val="12"/>
                <c:pt idx="0">
                  <c:v>3166800000</c:v>
                </c:pt>
                <c:pt idx="1">
                  <c:v>3438080000</c:v>
                </c:pt>
                <c:pt idx="2">
                  <c:v>3597160000</c:v>
                </c:pt>
                <c:pt idx="3">
                  <c:v>3162580000</c:v>
                </c:pt>
                <c:pt idx="4">
                  <c:v>3538640000</c:v>
                </c:pt>
                <c:pt idx="5">
                  <c:v>3533480000</c:v>
                </c:pt>
                <c:pt idx="6">
                  <c:v>3336070000</c:v>
                </c:pt>
                <c:pt idx="7">
                  <c:v>3203200000</c:v>
                </c:pt>
                <c:pt idx="8">
                  <c:v>3254050000</c:v>
                </c:pt>
                <c:pt idx="9">
                  <c:v>2231950000</c:v>
                </c:pt>
                <c:pt idx="10">
                  <c:v>2218010000</c:v>
                </c:pt>
                <c:pt idx="11">
                  <c:v>2081530000</c:v>
                </c:pt>
              </c:numCache>
            </c:numRef>
          </c:val>
          <c:extLst>
            <c:ext xmlns:c16="http://schemas.microsoft.com/office/drawing/2014/chart" uri="{C3380CC4-5D6E-409C-BE32-E72D297353CC}">
              <c16:uniqueId val="{00000000-9104-4774-9344-438FF85DD3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[Rabiya_ProjectRepot_Excel__.xlsx]Porsche Pivot Analysis!PivotTable13</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a:solidFill>
                  <a:srgbClr val="680000"/>
                </a:solidFill>
                <a:latin typeface="Times New Roman" panose="02020603050405020304" pitchFamily="18" charset="0"/>
                <a:cs typeface="Times New Roman" panose="02020603050405020304" pitchFamily="18" charset="0"/>
              </a:rPr>
              <a:t>GST Contribution by Model</a:t>
            </a:r>
            <a:endParaRPr lang="en-US" sz="1400" b="1" i="0" u="none" strike="noStrike" baseline="0">
              <a:solidFill>
                <a:srgbClr val="680000"/>
              </a:solidFill>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'Porsche Pivot Analysis'!$B$66</c:f>
              <c:strCache>
                <c:ptCount val="1"/>
                <c:pt idx="0">
                  <c:v>Total</c:v>
                </c:pt>
              </c:strCache>
            </c:strRef>
          </c:tx>
          <c:spPr>
            <a:solidFill>
              <a:schemeClr val="dk1">
                <a:tint val="885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'Porsche Pivot Analysis'!$A$67:$A$72</c:f>
              <c:strCache>
                <c:ptCount val="5"/>
                <c:pt idx="0">
                  <c:v>911 Carrera</c:v>
                </c:pt>
                <c:pt idx="1">
                  <c:v>Cayenne</c:v>
                </c:pt>
                <c:pt idx="2">
                  <c:v>Macan</c:v>
                </c:pt>
                <c:pt idx="3">
                  <c:v>Panamera</c:v>
                </c:pt>
                <c:pt idx="4">
                  <c:v>Taycan</c:v>
                </c:pt>
              </c:strCache>
            </c:strRef>
          </c:cat>
          <c:val>
            <c:numRef>
              <c:f>'Porsche Pivot Analysis'!$B$67:$B$72</c:f>
              <c:numCache>
                <c:formatCode>General</c:formatCode>
                <c:ptCount val="5"/>
                <c:pt idx="0">
                  <c:v>636854400</c:v>
                </c:pt>
                <c:pt idx="1">
                  <c:v>539082000</c:v>
                </c:pt>
                <c:pt idx="2">
                  <c:v>270329400</c:v>
                </c:pt>
                <c:pt idx="3">
                  <c:v>586656000</c:v>
                </c:pt>
                <c:pt idx="4">
                  <c:v>590427000</c:v>
                </c:pt>
              </c:numCache>
            </c:numRef>
          </c:val>
          <c:extLst>
            <c:ext xmlns:c16="http://schemas.microsoft.com/office/drawing/2014/chart" uri="{C3380CC4-5D6E-409C-BE32-E72D297353CC}">
              <c16:uniqueId val="{00000000-ECDC-4F83-91A7-B33DC0058C1D}"/>
            </c:ext>
          </c:extLst>
        </c:ser>
        <c:dLbls>
          <c:showLegendKey val="0"/>
          <c:showVal val="1"/>
          <c:showCatName val="0"/>
          <c:showSerName val="0"/>
          <c:showPercent val="0"/>
          <c:showBubbleSize val="0"/>
        </c:dLbls>
        <c:gapWidth val="150"/>
        <c:shape val="box"/>
        <c:axId val="1579794624"/>
        <c:axId val="1579796064"/>
        <c:axId val="0"/>
      </c:bar3DChart>
      <c:catAx>
        <c:axId val="1579794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796064"/>
        <c:crosses val="autoZero"/>
        <c:auto val="1"/>
        <c:lblAlgn val="ctr"/>
        <c:lblOffset val="100"/>
        <c:noMultiLvlLbl val="0"/>
      </c:catAx>
      <c:valAx>
        <c:axId val="1579796064"/>
        <c:scaling>
          <c:orientation val="minMax"/>
        </c:scaling>
        <c:delete val="1"/>
        <c:axPos val="l"/>
        <c:numFmt formatCode="General" sourceLinked="1"/>
        <c:majorTickMark val="none"/>
        <c:minorTickMark val="none"/>
        <c:tickLblPos val="nextTo"/>
        <c:crossAx val="157979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[Rabiya_ProjectRepot_Excel__.xlsx]Porsche Pivot Analysis!PivotTable6</c:name>
    <c:fmtId val="10"/>
  </c:pivotSource>
  <c:chart>
    <c:title>
      <c:tx>
        <c:rich>
          <a:bodyPr rot="0" spcFirstLastPara="1" vertOverflow="ellipsis" vert="horz" wrap="square" anchor="ctr" anchorCtr="1"/>
          <a:lstStyle/>
          <a:p>
            <a:pPr>
              <a:defRPr sz="1400" b="0" i="0" u="none" strike="noStrike" kern="1200" spc="0" baseline="0">
                <a:ln>
                  <a:noFill/>
                </a:ln>
                <a:solidFill>
                  <a:srgbClr val="680000"/>
                </a:solidFill>
                <a:latin typeface="+mn-lt"/>
                <a:ea typeface="+mn-ea"/>
                <a:cs typeface="+mn-cs"/>
              </a:defRPr>
            </a:pPr>
            <a:r>
              <a:rPr lang="en-IN" sz="1400" b="1">
                <a:latin typeface="Times New Roman" panose="02020603050405020304" pitchFamily="18" charset="0"/>
                <a:cs typeface="Times New Roman" panose="02020603050405020304" pitchFamily="18" charset="0"/>
              </a:rPr>
              <a:t>Model-wise Revenue Analysis</a:t>
            </a:r>
            <a:endParaRPr lang="en-US" sz="1400" b="1">
              <a:latin typeface="Times New Roman" panose="02020603050405020304" pitchFamily="18" charset="0"/>
              <a:cs typeface="Times New Roman" panose="02020603050405020304" pitchFamily="18" charset="0"/>
            </a:endParaRPr>
          </a:p>
        </c:rich>
      </c:tx>
      <c:layout>
        <c:manualLayout>
          <c:xMode val="edge"/>
          <c:yMode val="edge"/>
          <c:x val="0.17728446570843479"/>
          <c:y val="2.6530019657282283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68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dLbl>
          <c:idx val="0"/>
          <c:layout>
            <c:manualLayout>
              <c:x val="-1.2655662678258874E-2"/>
              <c:y val="-1.2625445059726521E-2"/>
            </c:manualLayout>
          </c:layout>
          <c:tx>
            <c:rich>
              <a:bodyPr rot="0" spcFirstLastPara="1" vertOverflow="ellipsis" vert="horz" wrap="square" lIns="38100" tIns="19050" rIns="38100" bIns="19050" anchor="ctr" anchorCtr="1">
                <a:noAutofit/>
              </a:bodyPr>
              <a:lstStyle/>
              <a:p>
                <a:pPr>
                  <a:defRPr sz="900" b="1" i="0" u="none" strike="noStrike" kern="1200" baseline="0">
                    <a:ln>
                      <a:noFill/>
                    </a:ln>
                    <a:solidFill>
                      <a:srgbClr val="680000"/>
                    </a:solidFill>
                    <a:latin typeface="Times New Roman" panose="02020603050405020304" pitchFamily="18" charset="0"/>
                    <a:ea typeface="+mn-ea"/>
                    <a:cs typeface="Times New Roman" panose="02020603050405020304" pitchFamily="18" charset="0"/>
                  </a:defRPr>
                </a:pPr>
                <a:fld id="{B6C6E276-766F-4C14-82ED-CCB42BE0281B}" type="VALUE">
                  <a:rPr lang="en-US" b="1">
                    <a:solidFill>
                      <a:schemeClr val="tx1"/>
                    </a:solidFill>
                    <a:latin typeface="Times New Roman" panose="02020603050405020304" pitchFamily="18" charset="0"/>
                    <a:cs typeface="Times New Roman" panose="02020603050405020304" pitchFamily="18" charset="0"/>
                  </a:rPr>
                  <a:pPr>
                    <a:defRPr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rgbClr val="68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4143449483701"/>
                  <c:h val="8.5990648475267675E-2"/>
                </c:manualLayout>
              </c15:layout>
              <c15:dlblFieldTable/>
              <c15:showDataLabelsRange val="0"/>
            </c:ext>
          </c:extLst>
        </c:dLbl>
      </c:pivotFmt>
      <c:pivotFmt>
        <c:idx val="4"/>
        <c:spPr>
          <a:solidFill>
            <a:schemeClr val="bg2">
              <a:lumMod val="50000"/>
            </a:schemeClr>
          </a:solidFill>
          <a:ln>
            <a:noFill/>
          </a:ln>
          <a:effectLst/>
        </c:spPr>
        <c:dLbl>
          <c:idx val="0"/>
          <c:layout>
            <c:manualLayout>
              <c:x val="-1.7707398230016064E-2"/>
              <c:y val="6.5984827657632368E-3"/>
            </c:manualLayout>
          </c:layout>
          <c:tx>
            <c:rich>
              <a:bodyPr rot="0" spcFirstLastPara="1" vertOverflow="ellipsis" vert="horz" wrap="square" lIns="38100" tIns="19050" rIns="38100" bIns="19050" anchor="ctr" anchorCtr="1">
                <a:noAutofit/>
              </a:bodyPr>
              <a:lstStyle/>
              <a:p>
                <a:pPr>
                  <a:defRPr sz="900" b="1" i="0" u="none" strike="noStrike" kern="1200" baseline="0">
                    <a:ln>
                      <a:noFill/>
                    </a:ln>
                    <a:solidFill>
                      <a:srgbClr val="680000"/>
                    </a:solidFill>
                    <a:latin typeface="Times New Roman" panose="02020603050405020304" pitchFamily="18" charset="0"/>
                    <a:ea typeface="+mn-ea"/>
                    <a:cs typeface="Times New Roman" panose="02020603050405020304" pitchFamily="18" charset="0"/>
                  </a:defRPr>
                </a:pPr>
                <a:fld id="{3EEDE5E9-F0B8-4E40-B708-36FB118EA807}" type="VALUE">
                  <a:rPr lang="en-US" b="1">
                    <a:solidFill>
                      <a:schemeClr val="tx1"/>
                    </a:solidFill>
                    <a:latin typeface="Times New Roman" panose="02020603050405020304" pitchFamily="18" charset="0"/>
                    <a:cs typeface="Times New Roman" panose="02020603050405020304" pitchFamily="18" charset="0"/>
                  </a:rPr>
                  <a:pPr>
                    <a:defRPr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rgbClr val="68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01402273856798"/>
                  <c:h val="7.2758578910096641E-2"/>
                </c:manualLayout>
              </c15:layout>
              <c15:dlblFieldTable/>
              <c15:showDataLabelsRange val="0"/>
            </c:ext>
          </c:extLst>
        </c:dLbl>
      </c:pivotFmt>
      <c:pivotFmt>
        <c:idx val="5"/>
        <c:spPr>
          <a:solidFill>
            <a:schemeClr val="bg2">
              <a:lumMod val="50000"/>
            </a:schemeClr>
          </a:solidFill>
          <a:ln>
            <a:noFill/>
          </a:ln>
          <a:effectLst/>
        </c:spPr>
        <c:dLbl>
          <c:idx val="0"/>
          <c:layout>
            <c:manualLayout>
              <c:x val="-2.833411967974571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94537155398534"/>
                  <c:h val="0.16561364771058465"/>
                </c:manualLayout>
              </c15:layout>
            </c:ext>
          </c:extLst>
        </c:dLbl>
      </c:pivotFmt>
      <c:pivotFmt>
        <c:idx val="6"/>
        <c:spPr>
          <a:solidFill>
            <a:schemeClr val="bg2">
              <a:lumMod val="50000"/>
            </a:schemeClr>
          </a:solidFill>
          <a:ln>
            <a:noFill/>
          </a:ln>
          <a:effectLst/>
        </c:spPr>
        <c:dLbl>
          <c:idx val="0"/>
          <c:layout>
            <c:manualLayout>
              <c:x val="-2.2433897162204935E-2"/>
              <c:y val="-6.859508690268742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10059635655492"/>
                  <c:h val="7.2758578910096641E-2"/>
                </c:manualLayout>
              </c15:layout>
            </c:ext>
          </c:extLst>
        </c:dLbl>
      </c:pivotFmt>
      <c:pivotFmt>
        <c:idx val="7"/>
        <c:spPr>
          <a:solidFill>
            <a:schemeClr val="bg2">
              <a:lumMod val="50000"/>
            </a:schemeClr>
          </a:solidFill>
          <a:ln>
            <a:noFill/>
          </a:ln>
          <a:effectLst/>
        </c:spPr>
        <c:dLbl>
          <c:idx val="0"/>
          <c:layout>
            <c:manualLayout>
              <c:x val="-5.4919514504605318E-2"/>
              <c:y val="2.477641235023013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779014675141576"/>
                  <c:h val="0.11255360839602008"/>
                </c:manualLayout>
              </c15:layout>
            </c:ext>
          </c:extLst>
        </c:dLbl>
      </c:pivotFmt>
    </c:pivotFmts>
    <c:plotArea>
      <c:layout>
        <c:manualLayout>
          <c:layoutTarget val="inner"/>
          <c:xMode val="edge"/>
          <c:yMode val="edge"/>
          <c:x val="0.23584394384590271"/>
          <c:y val="0.22656558848413863"/>
          <c:w val="0.55911851268871149"/>
          <c:h val="0.69970004839972155"/>
        </c:manualLayout>
      </c:layout>
      <c:barChart>
        <c:barDir val="bar"/>
        <c:grouping val="clustered"/>
        <c:varyColors val="0"/>
        <c:ser>
          <c:idx val="0"/>
          <c:order val="0"/>
          <c:tx>
            <c:strRef>
              <c:f>'Porsche Pivot Analysis'!$B$3</c:f>
              <c:strCache>
                <c:ptCount val="1"/>
                <c:pt idx="0">
                  <c:v>Total</c:v>
                </c:pt>
              </c:strCache>
            </c:strRef>
          </c:tx>
          <c:spPr>
            <a:solidFill>
              <a:schemeClr val="bg2">
                <a:lumMod val="50000"/>
              </a:schemeClr>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5-357C-4CEC-ACB0-ED7D77446C5A}"/>
              </c:ext>
            </c:extLst>
          </c:dPt>
          <c:dPt>
            <c:idx val="1"/>
            <c:invertIfNegative val="0"/>
            <c:bubble3D val="0"/>
            <c:spPr>
              <a:solidFill>
                <a:schemeClr val="bg2">
                  <a:lumMod val="50000"/>
                </a:schemeClr>
              </a:solidFill>
              <a:ln>
                <a:noFill/>
              </a:ln>
              <a:effectLst/>
            </c:spPr>
            <c:extLst>
              <c:ext xmlns:c16="http://schemas.microsoft.com/office/drawing/2014/chart" uri="{C3380CC4-5D6E-409C-BE32-E72D297353CC}">
                <c16:uniqueId val="{00000004-357C-4CEC-ACB0-ED7D77446C5A}"/>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357C-4CEC-ACB0-ED7D77446C5A}"/>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2-357C-4CEC-ACB0-ED7D77446C5A}"/>
              </c:ext>
            </c:extLst>
          </c:dPt>
          <c:dPt>
            <c:idx val="4"/>
            <c:invertIfNegative val="0"/>
            <c:bubble3D val="0"/>
            <c:spPr>
              <a:solidFill>
                <a:schemeClr val="bg2">
                  <a:lumMod val="50000"/>
                </a:schemeClr>
              </a:solidFill>
              <a:ln>
                <a:noFill/>
              </a:ln>
              <a:effectLst/>
            </c:spPr>
            <c:extLst>
              <c:ext xmlns:c16="http://schemas.microsoft.com/office/drawing/2014/chart" uri="{C3380CC4-5D6E-409C-BE32-E72D297353CC}">
                <c16:uniqueId val="{00000001-357C-4CEC-ACB0-ED7D77446C5A}"/>
              </c:ext>
            </c:extLst>
          </c:dPt>
          <c:dLbls>
            <c:dLbl>
              <c:idx val="0"/>
              <c:layout>
                <c:manualLayout>
                  <c:x val="-5.4919514504605318E-2"/>
                  <c:y val="2.477641235023013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779014675141576"/>
                      <c:h val="0.11255360839602008"/>
                    </c:manualLayout>
                  </c15:layout>
                </c:ext>
                <c:ext xmlns:c16="http://schemas.microsoft.com/office/drawing/2014/chart" uri="{C3380CC4-5D6E-409C-BE32-E72D297353CC}">
                  <c16:uniqueId val="{00000005-357C-4CEC-ACB0-ED7D77446C5A}"/>
                </c:ext>
              </c:extLst>
            </c:dLbl>
            <c:dLbl>
              <c:idx val="1"/>
              <c:layout>
                <c:manualLayout>
                  <c:x val="-2.2433897162204935E-2"/>
                  <c:y val="-6.859508690268742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10059635655492"/>
                      <c:h val="7.2758578910096641E-2"/>
                    </c:manualLayout>
                  </c15:layout>
                </c:ext>
                <c:ext xmlns:c16="http://schemas.microsoft.com/office/drawing/2014/chart" uri="{C3380CC4-5D6E-409C-BE32-E72D297353CC}">
                  <c16:uniqueId val="{00000004-357C-4CEC-ACB0-ED7D77446C5A}"/>
                </c:ext>
              </c:extLst>
            </c:dLbl>
            <c:dLbl>
              <c:idx val="2"/>
              <c:layout>
                <c:manualLayout>
                  <c:x val="-2.8334119679745719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194537155398534"/>
                      <c:h val="0.16561364771058465"/>
                    </c:manualLayout>
                  </c15:layout>
                </c:ext>
                <c:ext xmlns:c16="http://schemas.microsoft.com/office/drawing/2014/chart" uri="{C3380CC4-5D6E-409C-BE32-E72D297353CC}">
                  <c16:uniqueId val="{00000003-357C-4CEC-ACB0-ED7D77446C5A}"/>
                </c:ext>
              </c:extLst>
            </c:dLbl>
            <c:dLbl>
              <c:idx val="3"/>
              <c:layout>
                <c:manualLayout>
                  <c:x val="-1.7707398230016064E-2"/>
                  <c:y val="6.5984827657632368E-3"/>
                </c:manualLayout>
              </c:layout>
              <c:tx>
                <c:rich>
                  <a:bodyPr rot="0" spcFirstLastPara="1" vertOverflow="ellipsis" vert="horz" wrap="square" lIns="38100" tIns="19050" rIns="38100" bIns="19050" anchor="ctr" anchorCtr="1">
                    <a:noAutofit/>
                  </a:bodyPr>
                  <a:lstStyle/>
                  <a:p>
                    <a:pPr>
                      <a:defRPr sz="900" b="1" i="0" u="none" strike="noStrike" kern="1200" baseline="0">
                        <a:ln>
                          <a:noFill/>
                        </a:ln>
                        <a:solidFill>
                          <a:srgbClr val="680000"/>
                        </a:solidFill>
                        <a:latin typeface="Times New Roman" panose="02020603050405020304" pitchFamily="18" charset="0"/>
                        <a:ea typeface="+mn-ea"/>
                        <a:cs typeface="Times New Roman" panose="02020603050405020304" pitchFamily="18" charset="0"/>
                      </a:defRPr>
                    </a:pPr>
                    <a:fld id="{3EEDE5E9-F0B8-4E40-B708-36FB118EA807}" type="VALUE">
                      <a:rPr lang="en-US" b="1">
                        <a:solidFill>
                          <a:schemeClr val="tx1"/>
                        </a:solidFill>
                        <a:latin typeface="Times New Roman" panose="02020603050405020304" pitchFamily="18" charset="0"/>
                        <a:cs typeface="Times New Roman" panose="02020603050405020304" pitchFamily="18" charset="0"/>
                      </a:rPr>
                      <a:pPr>
                        <a:defRPr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rgbClr val="68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01402273856798"/>
                      <c:h val="7.2758578910096641E-2"/>
                    </c:manualLayout>
                  </c15:layout>
                  <c15:dlblFieldTable/>
                  <c15:showDataLabelsRange val="0"/>
                </c:ext>
                <c:ext xmlns:c16="http://schemas.microsoft.com/office/drawing/2014/chart" uri="{C3380CC4-5D6E-409C-BE32-E72D297353CC}">
                  <c16:uniqueId val="{00000002-357C-4CEC-ACB0-ED7D77446C5A}"/>
                </c:ext>
              </c:extLst>
            </c:dLbl>
            <c:dLbl>
              <c:idx val="4"/>
              <c:layout>
                <c:manualLayout>
                  <c:x val="-1.2655662678258874E-2"/>
                  <c:y val="-1.2625445059726521E-2"/>
                </c:manualLayout>
              </c:layout>
              <c:tx>
                <c:rich>
                  <a:bodyPr rot="0" spcFirstLastPara="1" vertOverflow="ellipsis" vert="horz" wrap="square" lIns="38100" tIns="19050" rIns="38100" bIns="19050" anchor="ctr" anchorCtr="1">
                    <a:noAutofit/>
                  </a:bodyPr>
                  <a:lstStyle/>
                  <a:p>
                    <a:pPr>
                      <a:defRPr sz="900" b="1" i="0" u="none" strike="noStrike" kern="1200" baseline="0">
                        <a:ln>
                          <a:noFill/>
                        </a:ln>
                        <a:solidFill>
                          <a:srgbClr val="680000"/>
                        </a:solidFill>
                        <a:latin typeface="Times New Roman" panose="02020603050405020304" pitchFamily="18" charset="0"/>
                        <a:ea typeface="+mn-ea"/>
                        <a:cs typeface="Times New Roman" panose="02020603050405020304" pitchFamily="18" charset="0"/>
                      </a:defRPr>
                    </a:pPr>
                    <a:fld id="{B6C6E276-766F-4C14-82ED-CCB42BE0281B}" type="VALUE">
                      <a:rPr lang="en-US" b="1">
                        <a:solidFill>
                          <a:schemeClr val="tx1"/>
                        </a:solidFill>
                        <a:latin typeface="Times New Roman" panose="02020603050405020304" pitchFamily="18" charset="0"/>
                        <a:cs typeface="Times New Roman" panose="02020603050405020304" pitchFamily="18" charset="0"/>
                      </a:rPr>
                      <a:pPr>
                        <a:defRPr b="1">
                          <a:latin typeface="Times New Roman" panose="02020603050405020304" pitchFamily="18" charset="0"/>
                          <a:cs typeface="Times New Roman" panose="02020603050405020304" pitchFamily="18"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ln>
                        <a:noFill/>
                      </a:ln>
                      <a:solidFill>
                        <a:srgbClr val="68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84143449483701"/>
                      <c:h val="8.5990648475267675E-2"/>
                    </c:manualLayout>
                  </c15:layout>
                  <c15:dlblFieldTable/>
                  <c15:showDataLabelsRange val="0"/>
                </c:ext>
                <c:ext xmlns:c16="http://schemas.microsoft.com/office/drawing/2014/chart" uri="{C3380CC4-5D6E-409C-BE32-E72D297353CC}">
                  <c16:uniqueId val="{00000001-357C-4CEC-ACB0-ED7D77446C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'Porsche Pivot Analysis'!$A$4:$A$9</c:f>
              <c:strCache>
                <c:ptCount val="5"/>
                <c:pt idx="0">
                  <c:v>911 Carrera</c:v>
                </c:pt>
                <c:pt idx="1">
                  <c:v>Cayenne</c:v>
                </c:pt>
                <c:pt idx="2">
                  <c:v>Macan</c:v>
                </c:pt>
                <c:pt idx="3">
                  <c:v>Panamera</c:v>
                </c:pt>
                <c:pt idx="4">
                  <c:v>Taycan</c:v>
                </c:pt>
              </c:strCache>
            </c:strRef>
          </c:cat>
          <c:val>
            <c:numRef>
              <c:f>'Porsche Pivot Analysis'!$B$4:$B$9</c:f>
              <c:numCache>
                <c:formatCode>General</c:formatCode>
                <c:ptCount val="5"/>
                <c:pt idx="0">
                  <c:v>8852760000</c:v>
                </c:pt>
                <c:pt idx="1">
                  <c:v>7878750000</c:v>
                </c:pt>
                <c:pt idx="2">
                  <c:v>3687570000</c:v>
                </c:pt>
                <c:pt idx="3">
                  <c:v>8271040000</c:v>
                </c:pt>
                <c:pt idx="4">
                  <c:v>8071430000</c:v>
                </c:pt>
              </c:numCache>
            </c:numRef>
          </c:val>
          <c:extLst>
            <c:ext xmlns:c16="http://schemas.microsoft.com/office/drawing/2014/chart" uri="{C3380CC4-5D6E-409C-BE32-E72D297353CC}">
              <c16:uniqueId val="{00000000-2977-473D-AA31-5ED83F40E134}"/>
            </c:ext>
          </c:extLst>
        </c:ser>
        <c:dLbls>
          <c:dLblPos val="outEnd"/>
          <c:showLegendKey val="0"/>
          <c:showVal val="1"/>
          <c:showCatName val="0"/>
          <c:showSerName val="0"/>
          <c:showPercent val="0"/>
          <c:showBubbleSize val="0"/>
        </c:dLbls>
        <c:gapWidth val="182"/>
        <c:axId val="1084416239"/>
        <c:axId val="1084417679"/>
      </c:barChart>
      <c:catAx>
        <c:axId val="1084416239"/>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84417679"/>
        <c:crosses val="autoZero"/>
        <c:auto val="1"/>
        <c:lblAlgn val="ctr"/>
        <c:lblOffset val="100"/>
        <c:noMultiLvlLbl val="0"/>
      </c:catAx>
      <c:valAx>
        <c:axId val="1084417679"/>
        <c:scaling>
          <c:orientation val="minMax"/>
        </c:scaling>
        <c:delete val="1"/>
        <c:axPos val="b"/>
        <c:numFmt formatCode="General" sourceLinked="1"/>
        <c:majorTickMark val="none"/>
        <c:minorTickMark val="none"/>
        <c:tickLblPos val="nextTo"/>
        <c:crossAx val="1084416239"/>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rgbClr val="68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[Rabiya_ProjectRepot_Excel__.xlsx]Porsche Pivot Analysis!PivotTable7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rgbClr val="680000"/>
                </a:solidFill>
                <a:latin typeface="Times New Roman" panose="02020603050405020304" pitchFamily="18" charset="0"/>
                <a:cs typeface="Times New Roman" panose="02020603050405020304" pitchFamily="18" charset="0"/>
              </a:rPr>
              <a:t>Model-wise Profit Analysis</a:t>
            </a:r>
            <a:endParaRPr lang="en-US" sz="1400" b="1">
              <a:solidFill>
                <a:srgbClr val="680000"/>
              </a:solidFill>
              <a:latin typeface="Times New Roman" panose="02020603050405020304" pitchFamily="18" charset="0"/>
              <a:cs typeface="Times New Roman" panose="02020603050405020304" pitchFamily="18" charset="0"/>
            </a:endParaRPr>
          </a:p>
        </c:rich>
      </c:tx>
      <c:layout>
        <c:manualLayout>
          <c:xMode val="edge"/>
          <c:yMode val="edge"/>
          <c:x val="0.22618225737953343"/>
          <c:y val="5.0341917239575594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bg2">
              <a:lumMod val="25000"/>
            </a:schemeClr>
          </a:solidFill>
          <a:ln w="19050">
            <a:solidFill>
              <a:schemeClr val="lt1"/>
            </a:solidFill>
          </a:ln>
          <a:effectLst/>
        </c:spPr>
        <c:dLbl>
          <c:idx val="0"/>
          <c:layout>
            <c:manualLayout>
              <c:x val="6.4852793834111369E-2"/>
              <c:y val="-6.708647136838141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manualLayout>
                  <c:w val="0.25366452953658475"/>
                  <c:h val="0.11202468471004896"/>
                </c:manualLayout>
              </c15:layout>
            </c:ext>
          </c:extLst>
        </c:dLbl>
      </c:pivotFmt>
      <c:pivotFmt>
        <c:idx val="14"/>
        <c:spPr>
          <a:solidFill>
            <a:schemeClr val="bg2">
              <a:lumMod val="75000"/>
            </a:schemeClr>
          </a:solidFill>
          <a:ln w="19050">
            <a:solidFill>
              <a:schemeClr val="lt1"/>
            </a:solidFill>
          </a:ln>
          <a:effectLst/>
        </c:spPr>
        <c:dLbl>
          <c:idx val="0"/>
          <c:layout>
            <c:manualLayout>
              <c:x val="8.0007470861541294E-2"/>
              <c:y val="-3.05798109649788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bg2">
              <a:lumMod val="50000"/>
            </a:schemeClr>
          </a:solidFill>
          <a:ln w="19050">
            <a:solidFill>
              <a:schemeClr val="lt1"/>
            </a:solidFill>
          </a:ln>
          <a:effectLst/>
        </c:spPr>
        <c:dLbl>
          <c:idx val="0"/>
          <c:layout>
            <c:manualLayout>
              <c:x val="0.10660667592829652"/>
              <c:y val="2.3143054600752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bg2">
              <a:lumMod val="1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21089917911990538"/>
                  <c:h val="0.17576827896512937"/>
                </c:manualLayout>
              </c15:layout>
            </c:ext>
          </c:extLst>
        </c:dLbl>
      </c:pivotFmt>
      <c:pivotFmt>
        <c:idx val="17"/>
        <c:spPr>
          <a:solidFill>
            <a:schemeClr val="bg2">
              <a:lumMod val="90000"/>
            </a:schemeClr>
          </a:solidFill>
          <a:ln w="19050">
            <a:solidFill>
              <a:schemeClr val="lt1"/>
            </a:solidFill>
          </a:ln>
          <a:effectLst/>
        </c:spPr>
        <c:dLbl>
          <c:idx val="0"/>
          <c:layout>
            <c:manualLayout>
              <c:x val="-2.2844287698920683E-2"/>
              <c:y val="-7.52149274524462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'Porsche Pivot Analysis'!$B$11</c:f>
              <c:strCache>
                <c:ptCount val="1"/>
                <c:pt idx="0">
                  <c:v>Total</c:v>
                </c:pt>
              </c:strCache>
            </c:strRef>
          </c:tx>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3900-4FE2-AD11-B99F699AD6C5}"/>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3900-4FE2-AD11-B99F699AD6C5}"/>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3900-4FE2-AD11-B99F699AD6C5}"/>
              </c:ext>
            </c:extLst>
          </c:dPt>
          <c:dPt>
            <c:idx val="3"/>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07-3900-4FE2-AD11-B99F699AD6C5}"/>
              </c:ext>
            </c:extLst>
          </c:dPt>
          <c:dPt>
            <c:idx val="4"/>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9-3900-4FE2-AD11-B99F699AD6C5}"/>
              </c:ext>
            </c:extLst>
          </c:dPt>
          <c:dLbls>
            <c:dLbl>
              <c:idx val="0"/>
              <c:layout>
                <c:manualLayout>
                  <c:x val="6.4852793834111369E-2"/>
                  <c:y val="-6.708647136838141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manualLayout>
                      <c:w val="0.25366452953658475"/>
                      <c:h val="0.11202468471004896"/>
                    </c:manualLayout>
                  </c15:layout>
                </c:ext>
                <c:ext xmlns:c16="http://schemas.microsoft.com/office/drawing/2014/chart" uri="{C3380CC4-5D6E-409C-BE32-E72D297353CC}">
                  <c16:uniqueId val="{00000001-3900-4FE2-AD11-B99F699AD6C5}"/>
                </c:ext>
              </c:extLst>
            </c:dLbl>
            <c:dLbl>
              <c:idx val="1"/>
              <c:layout>
                <c:manualLayout>
                  <c:x val="8.0007470861541294E-2"/>
                  <c:y val="-3.0579810964978818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00-4FE2-AD11-B99F699AD6C5}"/>
                </c:ext>
              </c:extLst>
            </c:dLbl>
            <c:dLbl>
              <c:idx val="2"/>
              <c:layout>
                <c:manualLayout>
                  <c:x val="0.10660667592829652"/>
                  <c:y val="2.3143054600752697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00-4FE2-AD11-B99F699AD6C5}"/>
                </c:ext>
              </c:extLst>
            </c:dLbl>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21089917911990538"/>
                      <c:h val="0.17576827896512937"/>
                    </c:manualLayout>
                  </c15:layout>
                </c:ext>
                <c:ext xmlns:c16="http://schemas.microsoft.com/office/drawing/2014/chart" uri="{C3380CC4-5D6E-409C-BE32-E72D297353CC}">
                  <c16:uniqueId val="{00000007-3900-4FE2-AD11-B99F699AD6C5}"/>
                </c:ext>
              </c:extLst>
            </c:dLbl>
            <c:dLbl>
              <c:idx val="4"/>
              <c:layout>
                <c:manualLayout>
                  <c:x val="-2.2844287698920683E-2"/>
                  <c:y val="-7.5214927452446262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900-4FE2-AD11-B99F699AD6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'Porsche Pivot Analysis'!$A$12:$A$17</c:f>
              <c:strCache>
                <c:ptCount val="5"/>
                <c:pt idx="0">
                  <c:v>911 Carrera</c:v>
                </c:pt>
                <c:pt idx="1">
                  <c:v>Cayenne</c:v>
                </c:pt>
                <c:pt idx="2">
                  <c:v>Macan</c:v>
                </c:pt>
                <c:pt idx="3">
                  <c:v>Panamera</c:v>
                </c:pt>
                <c:pt idx="4">
                  <c:v>Taycan</c:v>
                </c:pt>
              </c:strCache>
            </c:strRef>
          </c:cat>
          <c:val>
            <c:numRef>
              <c:f>'Porsche Pivot Analysis'!$B$12:$B$17</c:f>
              <c:numCache>
                <c:formatCode>General</c:formatCode>
                <c:ptCount val="5"/>
                <c:pt idx="0">
                  <c:v>1465560000</c:v>
                </c:pt>
                <c:pt idx="1">
                  <c:v>1314750000</c:v>
                </c:pt>
                <c:pt idx="2">
                  <c:v>613170000</c:v>
                </c:pt>
                <c:pt idx="3">
                  <c:v>1384640000</c:v>
                </c:pt>
                <c:pt idx="4">
                  <c:v>1339430000</c:v>
                </c:pt>
              </c:numCache>
            </c:numRef>
          </c:val>
          <c:extLst>
            <c:ext xmlns:c16="http://schemas.microsoft.com/office/drawing/2014/chart" uri="{C3380CC4-5D6E-409C-BE32-E72D297353CC}">
              <c16:uniqueId val="{0000000A-3900-4FE2-AD11-B99F699AD6C5}"/>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layout>
        <c:manualLayout>
          <c:xMode val="edge"/>
          <c:yMode val="edge"/>
          <c:x val="0.753533097838188"/>
          <c:y val="0.28976136869300706"/>
          <c:w val="0.2247066022795795"/>
          <c:h val="0.395383375058344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[Rabiya_ProjectRepot_Excel__.xlsx]Porsche Pivot Analysis!PivotTable8</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680000"/>
                </a:solidFill>
                <a:latin typeface="Times New Roman" panose="02020603050405020304" pitchFamily="18" charset="0"/>
                <a:cs typeface="Times New Roman" panose="02020603050405020304" pitchFamily="18" charset="0"/>
              </a:rPr>
              <a:t>Region-wise Revenue Performance</a:t>
            </a:r>
            <a:endParaRPr lang="en-US" sz="1400" b="1">
              <a:solidFill>
                <a:srgbClr val="680000"/>
              </a:solidFill>
              <a:latin typeface="Times New Roman" panose="02020603050405020304" pitchFamily="18" charset="0"/>
              <a:cs typeface="Times New Roman" panose="02020603050405020304" pitchFamily="18" charset="0"/>
            </a:endParaRPr>
          </a:p>
        </c:rich>
      </c:tx>
      <c:layout>
        <c:manualLayout>
          <c:xMode val="edge"/>
          <c:yMode val="edge"/>
          <c:x val="0.12663980757016657"/>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a:sp3d/>
        </c:spPr>
        <c:dLbl>
          <c:idx val="0"/>
          <c:layout>
            <c:manualLayout>
              <c:x val="6.8888899794934649E-2"/>
              <c:y val="-2.3201368698065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10000"/>
            </a:schemeClr>
          </a:solidFill>
          <a:ln>
            <a:noFill/>
          </a:ln>
          <a:effectLst/>
          <a:sp3d/>
        </c:spPr>
        <c:dLbl>
          <c:idx val="0"/>
          <c:layout>
            <c:manualLayout>
              <c:x val="-3.3317349944398243E-2"/>
              <c:y val="-0.101913840273995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10000"/>
            </a:schemeClr>
          </a:solidFill>
          <a:ln>
            <a:noFill/>
          </a:ln>
          <a:effectLst/>
          <a:sp3d/>
        </c:spPr>
        <c:dLbl>
          <c:idx val="0"/>
          <c:layout>
            <c:manualLayout>
              <c:x val="-5.9778103868549544E-2"/>
              <c:y val="-1.67333020936951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a:sp3d/>
        </c:spPr>
        <c:dLbl>
          <c:idx val="0"/>
          <c:layout>
            <c:manualLayout>
              <c:x val="4.0721205487597813E-2"/>
              <c:y val="-4.75597921278646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noFill/>
          </a:ln>
          <a:effectLst/>
          <a:sp3d/>
        </c:spPr>
        <c:dLbl>
          <c:idx val="0"/>
          <c:layout>
            <c:manualLayout>
              <c:x val="2.961542217279834E-2"/>
              <c:y val="-4.07655361095983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574709585630815E-2"/>
          <c:y val="0.21495581593664975"/>
          <c:w val="0.76309605881619069"/>
          <c:h val="0.52555712971666013"/>
        </c:manualLayout>
      </c:layout>
      <c:bar3DChart>
        <c:barDir val="col"/>
        <c:grouping val="clustered"/>
        <c:varyColors val="0"/>
        <c:ser>
          <c:idx val="0"/>
          <c:order val="0"/>
          <c:tx>
            <c:strRef>
              <c:f>'Porsche Pivot Analysis'!$B$19</c:f>
              <c:strCache>
                <c:ptCount val="1"/>
                <c:pt idx="0">
                  <c:v>Total</c:v>
                </c:pt>
              </c:strCache>
            </c:strRef>
          </c:tx>
          <c:spPr>
            <a:solidFill>
              <a:schemeClr val="dk1">
                <a:tint val="88500"/>
              </a:schemeClr>
            </a:solidFill>
            <a:ln>
              <a:noFill/>
            </a:ln>
            <a:effectLst/>
            <a:sp3d/>
          </c:spPr>
          <c:invertIfNegative val="0"/>
          <c:dPt>
            <c:idx val="0"/>
            <c:invertIfNegative val="0"/>
            <c:bubble3D val="0"/>
            <c:spPr>
              <a:solidFill>
                <a:schemeClr val="bg2">
                  <a:lumMod val="10000"/>
                </a:schemeClr>
              </a:solidFill>
              <a:ln>
                <a:noFill/>
              </a:ln>
              <a:effectLst/>
              <a:sp3d/>
            </c:spPr>
            <c:extLst>
              <c:ext xmlns:c16="http://schemas.microsoft.com/office/drawing/2014/chart" uri="{C3380CC4-5D6E-409C-BE32-E72D297353CC}">
                <c16:uniqueId val="{00000002-0FCA-4A57-BF4B-4D32F8B39CC4}"/>
              </c:ext>
            </c:extLst>
          </c:dPt>
          <c:dPt>
            <c:idx val="1"/>
            <c:invertIfNegative val="0"/>
            <c:bubble3D val="0"/>
            <c:spPr>
              <a:solidFill>
                <a:schemeClr val="bg2">
                  <a:lumMod val="10000"/>
                </a:schemeClr>
              </a:solidFill>
              <a:ln>
                <a:noFill/>
              </a:ln>
              <a:effectLst/>
              <a:sp3d/>
            </c:spPr>
            <c:extLst>
              <c:ext xmlns:c16="http://schemas.microsoft.com/office/drawing/2014/chart" uri="{C3380CC4-5D6E-409C-BE32-E72D297353CC}">
                <c16:uniqueId val="{00000001-0FCA-4A57-BF4B-4D32F8B39CC4}"/>
              </c:ext>
            </c:extLst>
          </c:dPt>
          <c:dPt>
            <c:idx val="2"/>
            <c:invertIfNegative val="0"/>
            <c:bubble3D val="0"/>
            <c:spPr>
              <a:solidFill>
                <a:schemeClr val="bg2">
                  <a:lumMod val="50000"/>
                </a:schemeClr>
              </a:solidFill>
              <a:ln>
                <a:noFill/>
              </a:ln>
              <a:effectLst/>
              <a:sp3d/>
            </c:spPr>
            <c:extLst>
              <c:ext xmlns:c16="http://schemas.microsoft.com/office/drawing/2014/chart" uri="{C3380CC4-5D6E-409C-BE32-E72D297353CC}">
                <c16:uniqueId val="{00000003-0FCA-4A57-BF4B-4D32F8B39CC4}"/>
              </c:ext>
            </c:extLst>
          </c:dPt>
          <c:dPt>
            <c:idx val="3"/>
            <c:invertIfNegative val="0"/>
            <c:bubble3D val="0"/>
            <c:spPr>
              <a:solidFill>
                <a:schemeClr val="bg2">
                  <a:lumMod val="75000"/>
                </a:schemeClr>
              </a:solidFill>
              <a:ln>
                <a:noFill/>
              </a:ln>
              <a:effectLst/>
              <a:sp3d/>
            </c:spPr>
            <c:extLst>
              <c:ext xmlns:c16="http://schemas.microsoft.com/office/drawing/2014/chart" uri="{C3380CC4-5D6E-409C-BE32-E72D297353CC}">
                <c16:uniqueId val="{00000004-0FCA-4A57-BF4B-4D32F8B39CC4}"/>
              </c:ext>
            </c:extLst>
          </c:dPt>
          <c:dPt>
            <c:idx val="4"/>
            <c:invertIfNegative val="0"/>
            <c:bubble3D val="0"/>
            <c:spPr>
              <a:solidFill>
                <a:schemeClr val="bg2">
                  <a:lumMod val="90000"/>
                </a:schemeClr>
              </a:solidFill>
              <a:ln>
                <a:noFill/>
              </a:ln>
              <a:effectLst/>
              <a:sp3d/>
            </c:spPr>
            <c:extLst>
              <c:ext xmlns:c16="http://schemas.microsoft.com/office/drawing/2014/chart" uri="{C3380CC4-5D6E-409C-BE32-E72D297353CC}">
                <c16:uniqueId val="{00000000-B038-49F5-9375-F6833AEEA79A}"/>
              </c:ext>
            </c:extLst>
          </c:dPt>
          <c:dLbls>
            <c:dLbl>
              <c:idx val="0"/>
              <c:layout>
                <c:manualLayout>
                  <c:x val="-5.9778103868549544E-2"/>
                  <c:y val="-1.67333020936951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CA-4A57-BF4B-4D32F8B39CC4}"/>
                </c:ext>
              </c:extLst>
            </c:dLbl>
            <c:dLbl>
              <c:idx val="1"/>
              <c:layout>
                <c:manualLayout>
                  <c:x val="-3.3317349944398243E-2"/>
                  <c:y val="-0.101913840273995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CA-4A57-BF4B-4D32F8B39CC4}"/>
                </c:ext>
              </c:extLst>
            </c:dLbl>
            <c:dLbl>
              <c:idx val="2"/>
              <c:layout>
                <c:manualLayout>
                  <c:x val="4.0721205487597813E-2"/>
                  <c:y val="-4.75597921278646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CA-4A57-BF4B-4D32F8B39CC4}"/>
                </c:ext>
              </c:extLst>
            </c:dLbl>
            <c:dLbl>
              <c:idx val="3"/>
              <c:layout>
                <c:manualLayout>
                  <c:x val="2.961542217279834E-2"/>
                  <c:y val="-4.07655361095983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CA-4A57-BF4B-4D32F8B39CC4}"/>
                </c:ext>
              </c:extLst>
            </c:dLbl>
            <c:dLbl>
              <c:idx val="4"/>
              <c:layout>
                <c:manualLayout>
                  <c:x val="6.8888899794934649E-2"/>
                  <c:y val="-2.3201368698065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38-49F5-9375-F6833AEEA7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'Porsche Pivot Analysis'!$A$20:$A$25</c:f>
              <c:strCache>
                <c:ptCount val="5"/>
                <c:pt idx="0">
                  <c:v>Bangalore</c:v>
                </c:pt>
                <c:pt idx="1">
                  <c:v>Chennai</c:v>
                </c:pt>
                <c:pt idx="2">
                  <c:v>Delhi</c:v>
                </c:pt>
                <c:pt idx="3">
                  <c:v>Hyderabad</c:v>
                </c:pt>
                <c:pt idx="4">
                  <c:v>Mumbai</c:v>
                </c:pt>
              </c:strCache>
            </c:strRef>
          </c:cat>
          <c:val>
            <c:numRef>
              <c:f>'Porsche Pivot Analysis'!$B$20:$B$25</c:f>
              <c:numCache>
                <c:formatCode>General</c:formatCode>
                <c:ptCount val="5"/>
                <c:pt idx="0">
                  <c:v>6945100000</c:v>
                </c:pt>
                <c:pt idx="1">
                  <c:v>7339970000</c:v>
                </c:pt>
                <c:pt idx="2">
                  <c:v>8013750000</c:v>
                </c:pt>
                <c:pt idx="3">
                  <c:v>7271910000</c:v>
                </c:pt>
                <c:pt idx="4">
                  <c:v>7190820000</c:v>
                </c:pt>
              </c:numCache>
            </c:numRef>
          </c:val>
          <c:extLst>
            <c:ext xmlns:c16="http://schemas.microsoft.com/office/drawing/2014/chart" uri="{C3380CC4-5D6E-409C-BE32-E72D297353CC}">
              <c16:uniqueId val="{00000000-C311-4D64-8C89-0829603EB8F5}"/>
            </c:ext>
          </c:extLst>
        </c:ser>
        <c:dLbls>
          <c:showLegendKey val="0"/>
          <c:showVal val="0"/>
          <c:showCatName val="0"/>
          <c:showSerName val="0"/>
          <c:showPercent val="0"/>
          <c:showBubbleSize val="0"/>
        </c:dLbls>
        <c:gapWidth val="150"/>
        <c:gapDepth val="37"/>
        <c:shape val="box"/>
        <c:axId val="1375147679"/>
        <c:axId val="1375148159"/>
        <c:axId val="0"/>
      </c:bar3DChart>
      <c:catAx>
        <c:axId val="137514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75148159"/>
        <c:crosses val="autoZero"/>
        <c:auto val="1"/>
        <c:lblAlgn val="ctr"/>
        <c:lblOffset val="100"/>
        <c:noMultiLvlLbl val="0"/>
      </c:catAx>
      <c:valAx>
        <c:axId val="1375148159"/>
        <c:scaling>
          <c:orientation val="minMax"/>
        </c:scaling>
        <c:delete val="1"/>
        <c:axPos val="l"/>
        <c:numFmt formatCode="General" sourceLinked="1"/>
        <c:majorTickMark val="none"/>
        <c:minorTickMark val="none"/>
        <c:tickLblPos val="nextTo"/>
        <c:crossAx val="137514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[Rabiya_ProjectRepot_Excel__.xlsx]Porsche Pivot Analysis!PivotTable9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680000"/>
                </a:solidFill>
                <a:latin typeface="Times New Roman" panose="02020603050405020304" pitchFamily="18" charset="0"/>
                <a:cs typeface="Times New Roman" panose="02020603050405020304" pitchFamily="18" charset="0"/>
              </a:rPr>
              <a:t>Model-wise Sales Volume </a:t>
            </a:r>
            <a:endParaRPr lang="en-IN" sz="1400" b="1">
              <a:solidFill>
                <a:srgbClr val="680000"/>
              </a:solidFill>
              <a:latin typeface="Times New Roman" panose="02020603050405020304" pitchFamily="18" charset="0"/>
              <a:cs typeface="Times New Roman" panose="02020603050405020304" pitchFamily="18" charset="0"/>
            </a:endParaRPr>
          </a:p>
        </c:rich>
      </c:tx>
      <c:layout>
        <c:manualLayout>
          <c:xMode val="edge"/>
          <c:yMode val="edge"/>
          <c:x val="0.2195542829217979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
        <c:idx val="9"/>
        <c:spPr>
          <a:solidFill>
            <a:schemeClr val="dk1">
              <a:tint val="88500"/>
            </a:schemeClr>
          </a:solidFill>
          <a:ln w="19050">
            <a:solidFill>
              <a:schemeClr val="lt1"/>
            </a:solidFill>
          </a:ln>
          <a:effectLst/>
        </c:spPr>
      </c:pivotFmt>
      <c:pivotFmt>
        <c:idx val="10"/>
        <c:spPr>
          <a:solidFill>
            <a:schemeClr val="dk1">
              <a:tint val="88500"/>
            </a:schemeClr>
          </a:solidFill>
          <a:ln w="19050">
            <a:solidFill>
              <a:schemeClr val="lt1"/>
            </a:solidFill>
          </a:ln>
          <a:effectLst/>
        </c:spPr>
      </c:pivotFmt>
      <c:pivotFmt>
        <c:idx val="11"/>
        <c:spPr>
          <a:solidFill>
            <a:schemeClr val="dk1">
              <a:tint val="88500"/>
            </a:schemeClr>
          </a:solidFill>
          <a:ln w="19050">
            <a:solidFill>
              <a:schemeClr val="lt1"/>
            </a:solidFill>
          </a:ln>
          <a:effectLst/>
        </c:spPr>
      </c:pivotFmt>
      <c:pivotFmt>
        <c:idx val="12"/>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25000"/>
            </a:schemeClr>
          </a:solidFill>
          <a:ln w="19050">
            <a:solidFill>
              <a:schemeClr val="lt1"/>
            </a:solidFill>
          </a:ln>
          <a:effectLst/>
        </c:spPr>
        <c:dLbl>
          <c:idx val="0"/>
          <c:layout>
            <c:manualLayout>
              <c:x val="9.1666636592310752E-2"/>
              <c:y val="-3.957892593598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75000"/>
            </a:schemeClr>
          </a:solidFill>
          <a:ln w="19050">
            <a:solidFill>
              <a:schemeClr val="lt1"/>
            </a:solidFill>
          </a:ln>
          <a:effectLst/>
        </c:spPr>
        <c:dLbl>
          <c:idx val="0"/>
          <c:layout>
            <c:manualLayout>
              <c:x val="7.916664069335935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lumMod val="50000"/>
            </a:schemeClr>
          </a:solidFill>
          <a:ln w="19050">
            <a:solidFill>
              <a:schemeClr val="lt1"/>
            </a:solidFill>
          </a:ln>
          <a:effectLst/>
        </c:spPr>
        <c:dLbl>
          <c:idx val="0"/>
          <c:layout>
            <c:manualLayout>
              <c:x val="-4.16666529965053E-3"/>
              <c:y val="7.91578518719739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2">
              <a:lumMod val="10000"/>
            </a:schemeClr>
          </a:solidFill>
          <a:ln w="19050">
            <a:solidFill>
              <a:schemeClr val="lt1"/>
            </a:solidFill>
          </a:ln>
          <a:effectLst/>
        </c:spPr>
        <c:dLbl>
          <c:idx val="0"/>
          <c:layout>
            <c:manualLayout>
              <c:x val="-5.8333314195106907E-2"/>
              <c:y val="0.112140290151963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2">
              <a:lumMod val="90000"/>
            </a:schemeClr>
          </a:solidFill>
          <a:ln w="19050">
            <a:solidFill>
              <a:schemeClr val="lt1"/>
            </a:solidFill>
          </a:ln>
          <a:effectLst/>
        </c:spPr>
        <c:dLbl>
          <c:idx val="0"/>
          <c:layout>
            <c:manualLayout>
              <c:x val="-8.3333305993009865E-2"/>
              <c:y val="-5.2771901247982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629208783068"/>
          <c:y val="0.30244688139359371"/>
          <c:w val="0.37790177890361587"/>
          <c:h val="0.59827805701754611"/>
        </c:manualLayout>
      </c:layout>
      <c:doughnutChart>
        <c:varyColors val="1"/>
        <c:ser>
          <c:idx val="0"/>
          <c:order val="0"/>
          <c:tx>
            <c:strRef>
              <c:f>'Porsche Pivot Analysis'!$B$27</c:f>
              <c:strCache>
                <c:ptCount val="1"/>
                <c:pt idx="0">
                  <c:v>Total</c:v>
                </c:pt>
              </c:strCache>
            </c:strRef>
          </c:tx>
          <c:explosion val="5"/>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59B3-41BA-A195-2EACE382E2A9}"/>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59B3-41BA-A195-2EACE382E2A9}"/>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59B3-41BA-A195-2EACE382E2A9}"/>
              </c:ext>
            </c:extLst>
          </c:dPt>
          <c:dPt>
            <c:idx val="3"/>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07-59B3-41BA-A195-2EACE382E2A9}"/>
              </c:ext>
            </c:extLst>
          </c:dPt>
          <c:dPt>
            <c:idx val="4"/>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9-59B3-41BA-A195-2EACE382E2A9}"/>
              </c:ext>
            </c:extLst>
          </c:dPt>
          <c:dLbls>
            <c:dLbl>
              <c:idx val="0"/>
              <c:layout>
                <c:manualLayout>
                  <c:x val="9.1666636592310752E-2"/>
                  <c:y val="-3.957892593598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B3-41BA-A195-2EACE382E2A9}"/>
                </c:ext>
              </c:extLst>
            </c:dLbl>
            <c:dLbl>
              <c:idx val="1"/>
              <c:layout>
                <c:manualLayout>
                  <c:x val="7.916664069335935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B3-41BA-A195-2EACE382E2A9}"/>
                </c:ext>
              </c:extLst>
            </c:dLbl>
            <c:dLbl>
              <c:idx val="2"/>
              <c:layout>
                <c:manualLayout>
                  <c:x val="-4.16666529965053E-3"/>
                  <c:y val="7.9157851871973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B3-41BA-A195-2EACE382E2A9}"/>
                </c:ext>
              </c:extLst>
            </c:dLbl>
            <c:dLbl>
              <c:idx val="3"/>
              <c:layout>
                <c:manualLayout>
                  <c:x val="-5.8333314195106907E-2"/>
                  <c:y val="0.112140290151963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B3-41BA-A195-2EACE382E2A9}"/>
                </c:ext>
              </c:extLst>
            </c:dLbl>
            <c:dLbl>
              <c:idx val="4"/>
              <c:layout>
                <c:manualLayout>
                  <c:x val="-8.3333305993009865E-2"/>
                  <c:y val="-5.2771901247982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9B3-41BA-A195-2EACE382E2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'Porsche Pivot Analysis'!$A$28:$A$33</c:f>
              <c:strCache>
                <c:ptCount val="5"/>
                <c:pt idx="0">
                  <c:v>911 Carrera</c:v>
                </c:pt>
                <c:pt idx="1">
                  <c:v>Cayenne</c:v>
                </c:pt>
                <c:pt idx="2">
                  <c:v>Macan</c:v>
                </c:pt>
                <c:pt idx="3">
                  <c:v>Panamera</c:v>
                </c:pt>
                <c:pt idx="4">
                  <c:v>Taycan</c:v>
                </c:pt>
              </c:strCache>
            </c:strRef>
          </c:cat>
          <c:val>
            <c:numRef>
              <c:f>'Porsche Pivot Analysis'!$B$28:$B$33</c:f>
              <c:numCache>
                <c:formatCode>General</c:formatCode>
                <c:ptCount val="5"/>
                <c:pt idx="0">
                  <c:v>513</c:v>
                </c:pt>
                <c:pt idx="1">
                  <c:v>547</c:v>
                </c:pt>
                <c:pt idx="2">
                  <c:v>427</c:v>
                </c:pt>
                <c:pt idx="3">
                  <c:v>538</c:v>
                </c:pt>
                <c:pt idx="4">
                  <c:v>495</c:v>
                </c:pt>
              </c:numCache>
            </c:numRef>
          </c:val>
          <c:extLst>
            <c:ext xmlns:c16="http://schemas.microsoft.com/office/drawing/2014/chart" uri="{C3380CC4-5D6E-409C-BE32-E72D297353CC}">
              <c16:uniqueId val="{0000000A-59B3-41BA-A195-2EACE382E2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[Rabiya_ProjectRepot_Excel__.xlsx]Porsche Pivot Analysis!PivotTable11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680000"/>
                </a:solidFill>
                <a:latin typeface="Times New Roman" panose="02020603050405020304" pitchFamily="18" charset="0"/>
                <a:cs typeface="Times New Roman" panose="02020603050405020304" pitchFamily="18" charset="0"/>
              </a:rPr>
              <a:t>Region-wise Profit Performance</a:t>
            </a:r>
            <a:endParaRPr lang="en-US" sz="1400" b="1">
              <a:solidFill>
                <a:srgbClr val="680000"/>
              </a:solidFill>
              <a:latin typeface="Times New Roman" panose="02020603050405020304" pitchFamily="18" charset="0"/>
              <a:cs typeface="Times New Roman" panose="02020603050405020304" pitchFamily="18" charset="0"/>
            </a:endParaRPr>
          </a:p>
        </c:rich>
      </c:tx>
      <c:layout>
        <c:manualLayout>
          <c:xMode val="edge"/>
          <c:yMode val="edge"/>
          <c:x val="0.1726428065931688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a:sp3d/>
        </c:spPr>
        <c:dLbl>
          <c:idx val="0"/>
          <c:layout>
            <c:manualLayout>
              <c:x val="5.622671793284021E-2"/>
              <c:y val="-6.0354491551691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a:sp3d/>
        </c:spPr>
        <c:dLbl>
          <c:idx val="0"/>
          <c:layout>
            <c:manualLayout>
              <c:x val="2.2490687173136084E-2"/>
              <c:y val="-0.127415037720237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25000"/>
            </a:schemeClr>
          </a:solidFill>
          <a:ln>
            <a:noFill/>
          </a:ln>
          <a:effectLst/>
          <a:sp3d/>
        </c:spPr>
        <c:dLbl>
          <c:idx val="0"/>
          <c:layout>
            <c:manualLayout>
              <c:x val="3.3736030759704126E-2"/>
              <c:y val="-0.187769529271928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25000"/>
            </a:schemeClr>
          </a:solidFill>
          <a:ln>
            <a:noFill/>
          </a:ln>
          <a:effectLst/>
          <a:sp3d/>
        </c:spPr>
        <c:dLbl>
          <c:idx val="0"/>
          <c:layout>
            <c:manualLayout>
              <c:x val="2.623913503532543E-2"/>
              <c:y val="-3.35302730842729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a:noFill/>
          </a:ln>
          <a:effectLst/>
          <a:sp3d/>
        </c:spPr>
        <c:dLbl>
          <c:idx val="0"/>
          <c:layout>
            <c:manualLayout>
              <c:x val="1.8742239310946738E-2"/>
              <c:y val="-2.0118163850563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'Porsche Pivot Analysis'!$B$50</c:f>
              <c:strCache>
                <c:ptCount val="1"/>
                <c:pt idx="0">
                  <c:v>Total</c:v>
                </c:pt>
              </c:strCache>
            </c:strRef>
          </c:tx>
          <c:spPr>
            <a:solidFill>
              <a:schemeClr val="bg2">
                <a:lumMod val="25000"/>
              </a:schemeClr>
            </a:solidFill>
            <a:ln>
              <a:noFill/>
            </a:ln>
            <a:effectLst/>
            <a:sp3d/>
          </c:spPr>
          <c:invertIfNegative val="0"/>
          <c:dPt>
            <c:idx val="0"/>
            <c:invertIfNegative val="0"/>
            <c:bubble3D val="0"/>
            <c:spPr>
              <a:solidFill>
                <a:schemeClr val="bg2">
                  <a:lumMod val="25000"/>
                </a:schemeClr>
              </a:solidFill>
              <a:ln>
                <a:noFill/>
              </a:ln>
              <a:effectLst/>
              <a:sp3d/>
            </c:spPr>
            <c:extLst>
              <c:ext xmlns:c16="http://schemas.microsoft.com/office/drawing/2014/chart" uri="{C3380CC4-5D6E-409C-BE32-E72D297353CC}">
                <c16:uniqueId val="{00000004-D273-4176-A968-754DBA2FB80C}"/>
              </c:ext>
            </c:extLst>
          </c:dPt>
          <c:dPt>
            <c:idx val="1"/>
            <c:invertIfNegative val="0"/>
            <c:bubble3D val="0"/>
            <c:spPr>
              <a:solidFill>
                <a:schemeClr val="bg2">
                  <a:lumMod val="25000"/>
                </a:schemeClr>
              </a:solidFill>
              <a:ln>
                <a:noFill/>
              </a:ln>
              <a:effectLst/>
              <a:sp3d/>
            </c:spPr>
            <c:extLst>
              <c:ext xmlns:c16="http://schemas.microsoft.com/office/drawing/2014/chart" uri="{C3380CC4-5D6E-409C-BE32-E72D297353CC}">
                <c16:uniqueId val="{00000003-D273-4176-A968-754DBA2FB80C}"/>
              </c:ext>
            </c:extLst>
          </c:dPt>
          <c:dPt>
            <c:idx val="2"/>
            <c:invertIfNegative val="0"/>
            <c:bubble3D val="0"/>
            <c:spPr>
              <a:solidFill>
                <a:schemeClr val="bg2">
                  <a:lumMod val="25000"/>
                </a:schemeClr>
              </a:solidFill>
              <a:ln>
                <a:noFill/>
              </a:ln>
              <a:effectLst/>
              <a:sp3d/>
            </c:spPr>
            <c:extLst>
              <c:ext xmlns:c16="http://schemas.microsoft.com/office/drawing/2014/chart" uri="{C3380CC4-5D6E-409C-BE32-E72D297353CC}">
                <c16:uniqueId val="{00000002-D273-4176-A968-754DBA2FB80C}"/>
              </c:ext>
            </c:extLst>
          </c:dPt>
          <c:dPt>
            <c:idx val="3"/>
            <c:invertIfNegative val="0"/>
            <c:bubble3D val="0"/>
            <c:spPr>
              <a:solidFill>
                <a:schemeClr val="bg2">
                  <a:lumMod val="25000"/>
                </a:schemeClr>
              </a:solidFill>
              <a:ln>
                <a:noFill/>
              </a:ln>
              <a:effectLst/>
              <a:sp3d/>
            </c:spPr>
            <c:extLst>
              <c:ext xmlns:c16="http://schemas.microsoft.com/office/drawing/2014/chart" uri="{C3380CC4-5D6E-409C-BE32-E72D297353CC}">
                <c16:uniqueId val="{00000001-D273-4176-A968-754DBA2FB80C}"/>
              </c:ext>
            </c:extLst>
          </c:dPt>
          <c:dPt>
            <c:idx val="4"/>
            <c:invertIfNegative val="0"/>
            <c:bubble3D val="0"/>
            <c:spPr>
              <a:solidFill>
                <a:schemeClr val="bg2">
                  <a:lumMod val="25000"/>
                </a:schemeClr>
              </a:solidFill>
              <a:ln>
                <a:noFill/>
              </a:ln>
              <a:effectLst/>
              <a:sp3d/>
            </c:spPr>
            <c:extLst>
              <c:ext xmlns:c16="http://schemas.microsoft.com/office/drawing/2014/chart" uri="{C3380CC4-5D6E-409C-BE32-E72D297353CC}">
                <c16:uniqueId val="{00000000-D273-4176-A968-754DBA2FB80C}"/>
              </c:ext>
            </c:extLst>
          </c:dPt>
          <c:dLbls>
            <c:dLbl>
              <c:idx val="0"/>
              <c:layout>
                <c:manualLayout>
                  <c:x val="1.8742239310946738E-2"/>
                  <c:y val="-2.01181638505637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73-4176-A968-754DBA2FB80C}"/>
                </c:ext>
              </c:extLst>
            </c:dLbl>
            <c:dLbl>
              <c:idx val="1"/>
              <c:layout>
                <c:manualLayout>
                  <c:x val="2.623913503532543E-2"/>
                  <c:y val="-3.35302730842729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73-4176-A968-754DBA2FB80C}"/>
                </c:ext>
              </c:extLst>
            </c:dLbl>
            <c:dLbl>
              <c:idx val="2"/>
              <c:layout>
                <c:manualLayout>
                  <c:x val="3.3736030759704126E-2"/>
                  <c:y val="-0.187769529271928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73-4176-A968-754DBA2FB80C}"/>
                </c:ext>
              </c:extLst>
            </c:dLbl>
            <c:dLbl>
              <c:idx val="3"/>
              <c:layout>
                <c:manualLayout>
                  <c:x val="2.2490687173136084E-2"/>
                  <c:y val="-0.127415037720237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73-4176-A968-754DBA2FB80C}"/>
                </c:ext>
              </c:extLst>
            </c:dLbl>
            <c:dLbl>
              <c:idx val="4"/>
              <c:layout>
                <c:manualLayout>
                  <c:x val="5.622671793284021E-2"/>
                  <c:y val="-6.0354491551691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273-4176-A968-754DBA2FB8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'Porsche Pivot Analysis'!$A$51:$A$56</c:f>
              <c:strCache>
                <c:ptCount val="5"/>
                <c:pt idx="0">
                  <c:v>Delhi</c:v>
                </c:pt>
                <c:pt idx="1">
                  <c:v>Chennai</c:v>
                </c:pt>
                <c:pt idx="2">
                  <c:v>Hyderabad</c:v>
                </c:pt>
                <c:pt idx="3">
                  <c:v>Mumbai</c:v>
                </c:pt>
                <c:pt idx="4">
                  <c:v>Bangalore</c:v>
                </c:pt>
              </c:strCache>
            </c:strRef>
          </c:cat>
          <c:val>
            <c:numRef>
              <c:f>'Porsche Pivot Analysis'!$B$51:$B$56</c:f>
              <c:numCache>
                <c:formatCode>General</c:formatCode>
                <c:ptCount val="5"/>
                <c:pt idx="0">
                  <c:v>1336950000</c:v>
                </c:pt>
                <c:pt idx="1">
                  <c:v>1216770000</c:v>
                </c:pt>
                <c:pt idx="2">
                  <c:v>1206310000</c:v>
                </c:pt>
                <c:pt idx="3">
                  <c:v>1192420000</c:v>
                </c:pt>
                <c:pt idx="4">
                  <c:v>1165100000</c:v>
                </c:pt>
              </c:numCache>
            </c:numRef>
          </c:val>
          <c:extLst>
            <c:ext xmlns:c16="http://schemas.microsoft.com/office/drawing/2014/chart" uri="{C3380CC4-5D6E-409C-BE32-E72D297353CC}">
              <c16:uniqueId val="{00000000-9682-4048-8CE7-EFF668C815FD}"/>
            </c:ext>
          </c:extLst>
        </c:ser>
        <c:dLbls>
          <c:showLegendKey val="0"/>
          <c:showVal val="1"/>
          <c:showCatName val="0"/>
          <c:showSerName val="0"/>
          <c:showPercent val="0"/>
          <c:showBubbleSize val="0"/>
        </c:dLbls>
        <c:gapWidth val="150"/>
        <c:shape val="box"/>
        <c:axId val="1770788847"/>
        <c:axId val="1770791727"/>
        <c:axId val="0"/>
      </c:bar3DChart>
      <c:catAx>
        <c:axId val="1770788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70791727"/>
        <c:crosses val="autoZero"/>
        <c:auto val="1"/>
        <c:lblAlgn val="ctr"/>
        <c:lblOffset val="100"/>
        <c:noMultiLvlLbl val="0"/>
      </c:catAx>
      <c:valAx>
        <c:axId val="1770791727"/>
        <c:scaling>
          <c:orientation val="minMax"/>
        </c:scaling>
        <c:delete val="1"/>
        <c:axPos val="l"/>
        <c:numFmt formatCode="General" sourceLinked="1"/>
        <c:majorTickMark val="none"/>
        <c:minorTickMark val="none"/>
        <c:tickLblPos val="nextTo"/>
        <c:crossAx val="177078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[Rabiya_ProjectRepot_Excel__.xlsx]Porsche Pivot Analysis!PivotTable12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rgbClr val="680000"/>
                </a:solidFill>
                <a:latin typeface="Times New Roman" panose="02020603050405020304" pitchFamily="18" charset="0"/>
                <a:cs typeface="Times New Roman" panose="02020603050405020304" pitchFamily="18" charset="0"/>
              </a:rPr>
              <a:t>Model-wise Discount Analysis</a:t>
            </a:r>
          </a:p>
        </c:rich>
      </c:tx>
      <c:layout>
        <c:manualLayout>
          <c:xMode val="edge"/>
          <c:yMode val="edge"/>
          <c:x val="0.1498610495549992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dk1">
              <a:tint val="88500"/>
            </a:schemeClr>
          </a:solidFill>
          <a:ln w="1905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a:sp3d contourW="25400">
            <a:contourClr>
              <a:schemeClr val="lt1"/>
            </a:contourClr>
          </a:sp3d>
        </c:spPr>
      </c:pivotFmt>
      <c:pivotFmt>
        <c:idx val="2"/>
        <c:spPr>
          <a:solidFill>
            <a:schemeClr val="dk1">
              <a:tint val="88500"/>
            </a:schemeClr>
          </a:solidFill>
          <a:ln w="19050">
            <a:solidFill>
              <a:schemeClr val="lt1"/>
            </a:solidFill>
          </a:ln>
          <a:effectLst/>
          <a:sp3d contourW="25400">
            <a:contourClr>
              <a:schemeClr val="lt1"/>
            </a:contourClr>
          </a:sp3d>
        </c:spPr>
      </c:pivotFmt>
      <c:pivotFmt>
        <c:idx val="3"/>
        <c:spPr>
          <a:solidFill>
            <a:schemeClr val="dk1">
              <a:tint val="88500"/>
            </a:schemeClr>
          </a:solidFill>
          <a:ln w="19050">
            <a:solidFill>
              <a:schemeClr val="lt1"/>
            </a:solidFill>
          </a:ln>
          <a:effectLst/>
          <a:sp3d contourW="25400">
            <a:contourClr>
              <a:schemeClr val="lt1"/>
            </a:contourClr>
          </a:sp3d>
        </c:spPr>
      </c:pivotFmt>
      <c:pivotFmt>
        <c:idx val="4"/>
        <c:spPr>
          <a:solidFill>
            <a:schemeClr val="dk1">
              <a:tint val="88500"/>
            </a:schemeClr>
          </a:solidFill>
          <a:ln w="19050">
            <a:solidFill>
              <a:schemeClr val="lt1"/>
            </a:solidFill>
          </a:ln>
          <a:effectLst/>
          <a:sp3d contourW="25400">
            <a:contourClr>
              <a:schemeClr val="lt1"/>
            </a:contourClr>
          </a:sp3d>
        </c:spPr>
      </c:pivotFmt>
      <c:pivotFmt>
        <c:idx val="5"/>
        <c:spPr>
          <a:solidFill>
            <a:schemeClr val="dk1">
              <a:tint val="88500"/>
            </a:schemeClr>
          </a:solidFill>
          <a:ln w="19050">
            <a:solidFill>
              <a:schemeClr val="lt1"/>
            </a:solidFill>
          </a:ln>
          <a:effectLst/>
          <a:sp3d contourW="25400">
            <a:contourClr>
              <a:schemeClr val="lt1"/>
            </a:contourClr>
          </a:sp3d>
        </c:spPr>
      </c:pivotFmt>
      <c:pivotFmt>
        <c:idx val="6"/>
        <c:spPr>
          <a:solidFill>
            <a:schemeClr val="dk1">
              <a:tint val="88500"/>
            </a:schemeClr>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dk1">
              <a:tint val="88500"/>
            </a:schemeClr>
          </a:solidFill>
          <a:ln w="19050">
            <a:solidFill>
              <a:schemeClr val="lt1"/>
            </a:solidFill>
          </a:ln>
          <a:effectLst/>
          <a:sp3d contourW="25400">
            <a:contourClr>
              <a:schemeClr val="lt1"/>
            </a:contourClr>
          </a:sp3d>
        </c:spPr>
      </c:pivotFmt>
      <c:pivotFmt>
        <c:idx val="8"/>
        <c:spPr>
          <a:solidFill>
            <a:schemeClr val="dk1">
              <a:tint val="88500"/>
            </a:schemeClr>
          </a:solidFill>
          <a:ln w="19050">
            <a:solidFill>
              <a:schemeClr val="lt1"/>
            </a:solidFill>
          </a:ln>
          <a:effectLst/>
          <a:sp3d contourW="25400">
            <a:contourClr>
              <a:schemeClr val="lt1"/>
            </a:contourClr>
          </a:sp3d>
        </c:spPr>
      </c:pivotFmt>
      <c:pivotFmt>
        <c:idx val="9"/>
        <c:spPr>
          <a:solidFill>
            <a:schemeClr val="dk1">
              <a:tint val="88500"/>
            </a:schemeClr>
          </a:solidFill>
          <a:ln w="19050">
            <a:solidFill>
              <a:schemeClr val="lt1"/>
            </a:solidFill>
          </a:ln>
          <a:effectLst/>
          <a:sp3d contourW="25400">
            <a:contourClr>
              <a:schemeClr val="lt1"/>
            </a:contourClr>
          </a:sp3d>
        </c:spPr>
      </c:pivotFmt>
      <c:pivotFmt>
        <c:idx val="10"/>
        <c:spPr>
          <a:solidFill>
            <a:schemeClr val="dk1">
              <a:tint val="88500"/>
            </a:schemeClr>
          </a:solidFill>
          <a:ln w="19050">
            <a:solidFill>
              <a:schemeClr val="lt1"/>
            </a:solidFill>
          </a:ln>
          <a:effectLst/>
          <a:sp3d contourW="25400">
            <a:contourClr>
              <a:schemeClr val="lt1"/>
            </a:contourClr>
          </a:sp3d>
        </c:spPr>
      </c:pivotFmt>
      <c:pivotFmt>
        <c:idx val="11"/>
        <c:spPr>
          <a:solidFill>
            <a:schemeClr val="dk1">
              <a:tint val="88500"/>
            </a:schemeClr>
          </a:solidFill>
          <a:ln w="19050">
            <a:solidFill>
              <a:schemeClr val="lt1"/>
            </a:solidFill>
          </a:ln>
          <a:effectLst/>
          <a:sp3d contourW="25400">
            <a:contourClr>
              <a:schemeClr val="lt1"/>
            </a:contourClr>
          </a:sp3d>
        </c:spPr>
      </c:pivotFmt>
      <c:pivotFmt>
        <c:idx val="12"/>
        <c:spPr>
          <a:solidFill>
            <a:schemeClr val="dk1">
              <a:tint val="885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bg2">
              <a:lumMod val="25000"/>
            </a:schemeClr>
          </a:solidFill>
          <a:ln w="25400">
            <a:solidFill>
              <a:schemeClr val="lt1"/>
            </a:solidFill>
          </a:ln>
          <a:effectLst/>
          <a:sp3d contourW="25400">
            <a:contourClr>
              <a:schemeClr val="lt1"/>
            </a:contourClr>
          </a:sp3d>
        </c:spPr>
      </c:pivotFmt>
      <c:pivotFmt>
        <c:idx val="14"/>
        <c:spPr>
          <a:solidFill>
            <a:schemeClr val="bg2">
              <a:lumMod val="75000"/>
            </a:schemeClr>
          </a:solidFill>
          <a:ln w="25400">
            <a:solidFill>
              <a:schemeClr val="lt1"/>
            </a:solidFill>
          </a:ln>
          <a:effectLst/>
          <a:sp3d contourW="25400">
            <a:contourClr>
              <a:schemeClr val="lt1"/>
            </a:contourClr>
          </a:sp3d>
        </c:spPr>
        <c:dLbl>
          <c:idx val="0"/>
          <c:layout>
            <c:manualLayout>
              <c:x val="4.3322055705048461E-3"/>
              <c:y val="0.2245675026014679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087349489027593"/>
                  <c:h val="0.17672781947151889"/>
                </c:manualLayout>
              </c15:layout>
            </c:ext>
          </c:extLst>
        </c:dLbl>
      </c:pivotFmt>
      <c:pivotFmt>
        <c:idx val="15"/>
        <c:spPr>
          <a:solidFill>
            <a:schemeClr val="bg2">
              <a:lumMod val="50000"/>
            </a:schemeClr>
          </a:solidFill>
          <a:ln w="25400">
            <a:solidFill>
              <a:schemeClr val="lt1"/>
            </a:solidFill>
          </a:ln>
          <a:effectLst/>
          <a:sp3d contourW="25400">
            <a:contourClr>
              <a:schemeClr val="lt1"/>
            </a:contourClr>
          </a:sp3d>
        </c:spPr>
      </c:pivotFmt>
      <c:pivotFmt>
        <c:idx val="16"/>
        <c:spPr>
          <a:solidFill>
            <a:schemeClr val="bg2">
              <a:lumMod val="10000"/>
            </a:schemeClr>
          </a:solidFill>
          <a:ln w="25400">
            <a:solidFill>
              <a:schemeClr val="lt1"/>
            </a:solidFill>
          </a:ln>
          <a:effectLst/>
          <a:sp3d contourW="25400">
            <a:contourClr>
              <a:schemeClr val="lt1"/>
            </a:contourClr>
          </a:sp3d>
        </c:spPr>
        <c:dLbl>
          <c:idx val="0"/>
          <c:layout>
            <c:manualLayout>
              <c:x val="2.8157119112288392E-2"/>
              <c:y val="0.1871393175848518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545372528406965"/>
                  <c:h val="0.21075319865355946"/>
                </c:manualLayout>
              </c15:layout>
            </c:ext>
          </c:extLst>
        </c:dLbl>
      </c:pivotFmt>
      <c:pivotFmt>
        <c:idx val="17"/>
        <c:spPr>
          <a:solidFill>
            <a:schemeClr val="bg2">
              <a:lumMod val="9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'Porsche Pivot Analysis'!$B$58</c:f>
              <c:strCache>
                <c:ptCount val="1"/>
                <c:pt idx="0">
                  <c:v>Total</c:v>
                </c:pt>
              </c:strCache>
            </c:strRef>
          </c:tx>
          <c:dPt>
            <c:idx val="0"/>
            <c:bubble3D val="0"/>
            <c:spPr>
              <a:solidFill>
                <a:schemeClr val="bg2">
                  <a:lumMod val="2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FEC2-4CE7-8C75-C3A648907683}"/>
              </c:ext>
            </c:extLst>
          </c:dPt>
          <c:dPt>
            <c:idx val="1"/>
            <c:bubble3D val="0"/>
            <c:spPr>
              <a:solidFill>
                <a:schemeClr val="bg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FEC2-4CE7-8C75-C3A648907683}"/>
              </c:ext>
            </c:extLst>
          </c:dPt>
          <c:dPt>
            <c:idx val="2"/>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FEC2-4CE7-8C75-C3A648907683}"/>
              </c:ext>
            </c:extLst>
          </c:dPt>
          <c:dPt>
            <c:idx val="3"/>
            <c:bubble3D val="0"/>
            <c:spPr>
              <a:solidFill>
                <a:schemeClr val="bg2">
                  <a:lumMod val="1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FEC2-4CE7-8C75-C3A648907683}"/>
              </c:ext>
            </c:extLst>
          </c:dPt>
          <c:dPt>
            <c:idx val="4"/>
            <c:bubble3D val="0"/>
            <c:spPr>
              <a:solidFill>
                <a:schemeClr val="bg2">
                  <a:lumMod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FEC2-4CE7-8C75-C3A648907683}"/>
              </c:ext>
            </c:extLst>
          </c:dPt>
          <c:dLbls>
            <c:dLbl>
              <c:idx val="1"/>
              <c:layout>
                <c:manualLayout>
                  <c:x val="4.3322055705048461E-3"/>
                  <c:y val="0.2245675026014679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087349489027593"/>
                      <c:h val="0.17672781947151889"/>
                    </c:manualLayout>
                  </c15:layout>
                </c:ext>
                <c:ext xmlns:c16="http://schemas.microsoft.com/office/drawing/2014/chart" uri="{C3380CC4-5D6E-409C-BE32-E72D297353CC}">
                  <c16:uniqueId val="{00000003-FEC2-4CE7-8C75-C3A648907683}"/>
                </c:ext>
              </c:extLst>
            </c:dLbl>
            <c:dLbl>
              <c:idx val="3"/>
              <c:layout>
                <c:manualLayout>
                  <c:x val="2.8157119112288392E-2"/>
                  <c:y val="0.1871393175848518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545372528406965"/>
                      <c:h val="0.21075319865355946"/>
                    </c:manualLayout>
                  </c15:layout>
                </c:ext>
                <c:ext xmlns:c16="http://schemas.microsoft.com/office/drawing/2014/chart" uri="{C3380CC4-5D6E-409C-BE32-E72D297353CC}">
                  <c16:uniqueId val="{00000007-FEC2-4CE7-8C75-C3A6489076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'Porsche Pivot Analysis'!$A$59:$A$64</c:f>
              <c:strCache>
                <c:ptCount val="5"/>
                <c:pt idx="0">
                  <c:v>911 Carrera</c:v>
                </c:pt>
                <c:pt idx="1">
                  <c:v>Cayenne</c:v>
                </c:pt>
                <c:pt idx="2">
                  <c:v>Macan</c:v>
                </c:pt>
                <c:pt idx="3">
                  <c:v>Panamera</c:v>
                </c:pt>
                <c:pt idx="4">
                  <c:v>Taycan</c:v>
                </c:pt>
              </c:strCache>
            </c:strRef>
          </c:cat>
          <c:val>
            <c:numRef>
              <c:f>'Porsche Pivot Analysis'!$B$59:$B$64</c:f>
              <c:numCache>
                <c:formatCode>General</c:formatCode>
                <c:ptCount val="5"/>
                <c:pt idx="0">
                  <c:v>4.1170731707317074</c:v>
                </c:pt>
                <c:pt idx="1">
                  <c:v>4.009615384615385</c:v>
                </c:pt>
                <c:pt idx="2">
                  <c:v>4.0977011494252871</c:v>
                </c:pt>
                <c:pt idx="3">
                  <c:v>3.9150943396226414</c:v>
                </c:pt>
                <c:pt idx="4">
                  <c:v>4.0049751243781095</c:v>
                </c:pt>
              </c:numCache>
            </c:numRef>
          </c:val>
          <c:extLst>
            <c:ext xmlns:c16="http://schemas.microsoft.com/office/drawing/2014/chart" uri="{C3380CC4-5D6E-409C-BE32-E72D297353CC}">
              <c16:uniqueId val="{0000000A-FEC2-4CE7-8C75-C3A648907683}"/>
            </c:ext>
          </c:extLst>
        </c:ser>
        <c:dLbls>
          <c:dLblPos val="out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4042785859566407"/>
          <c:y val="0.18599451092938046"/>
          <c:w val="0.23802234720659918"/>
          <c:h val="0.574182292442507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[Rabiya_ProjectRepot_Excel__.xlsx]Porsche Pivot Analysis!PivotTable15</c:name>
    <c:fmtId val="6"/>
  </c:pivotSource>
  <c:chart>
    <c:title>
      <c:tx>
        <c:rich>
          <a:bodyPr rot="0" spcFirstLastPara="1" vertOverflow="ellipsis" vert="horz" wrap="square" anchor="ctr" anchorCtr="1"/>
          <a:lstStyle/>
          <a:p>
            <a:pPr algn="ctr">
              <a:defRPr sz="1400" b="0" i="0" u="none" strike="noStrike" kern="1200" spc="0" baseline="0">
                <a:solidFill>
                  <a:srgbClr val="680000"/>
                </a:solidFill>
                <a:latin typeface="+mn-lt"/>
                <a:ea typeface="+mn-ea"/>
                <a:cs typeface="+mn-cs"/>
              </a:defRPr>
            </a:pPr>
            <a:r>
              <a:rPr lang="en-IN" sz="1400" b="1" i="0" u="none" strike="noStrike" baseline="0">
                <a:solidFill>
                  <a:srgbClr val="680000"/>
                </a:solidFill>
                <a:latin typeface="Times New Roman" panose="02020603050405020304" pitchFamily="18" charset="0"/>
                <a:cs typeface="Times New Roman" panose="02020603050405020304" pitchFamily="18" charset="0"/>
              </a:rPr>
              <a:t>Model vs Region Sales Matrix</a:t>
            </a:r>
            <a:endParaRPr lang="en-IN" sz="1400" b="1">
              <a:solidFill>
                <a:srgbClr val="680000"/>
              </a:solidFill>
              <a:latin typeface="Times New Roman" panose="02020603050405020304" pitchFamily="18" charset="0"/>
              <a:cs typeface="Times New Roman" panose="02020603050405020304" pitchFamily="18" charset="0"/>
            </a:endParaRPr>
          </a:p>
        </c:rich>
      </c:tx>
      <c:layout>
        <c:manualLayout>
          <c:xMode val="edge"/>
          <c:yMode val="edge"/>
          <c:x val="0.20573254810758093"/>
          <c:y val="4.9614729157818407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rgbClr val="680000"/>
              </a:solidFill>
              <a:latin typeface="+mn-lt"/>
              <a:ea typeface="+mn-ea"/>
              <a:cs typeface="+mn-cs"/>
            </a:defRPr>
          </a:pPr>
          <a:endParaRPr lang="en-IN"/>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2">
              <a:lumMod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lumMod val="1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'Porsche Pivot Analysis'!$B$82:$B$83</c:f>
              <c:strCache>
                <c:ptCount val="1"/>
                <c:pt idx="0">
                  <c:v>Bangalore</c:v>
                </c:pt>
              </c:strCache>
            </c:strRef>
          </c:tx>
          <c:spPr>
            <a:solidFill>
              <a:schemeClr val="bg2">
                <a:lumMod val="75000"/>
              </a:schemeClr>
            </a:solidFill>
            <a:ln>
              <a:noFill/>
            </a:ln>
            <a:effectLst/>
            <a:sp3d/>
          </c:spPr>
          <c:invertIfNegative val="0"/>
          <c:cat>
            <c:strRef>
              <c:f>'Porsche Pivot Analysis'!$A$84:$A$89</c:f>
              <c:strCache>
                <c:ptCount val="5"/>
                <c:pt idx="0">
                  <c:v>911 Carrera</c:v>
                </c:pt>
                <c:pt idx="1">
                  <c:v>Cayenne</c:v>
                </c:pt>
                <c:pt idx="2">
                  <c:v>Macan</c:v>
                </c:pt>
                <c:pt idx="3">
                  <c:v>Panamera</c:v>
                </c:pt>
                <c:pt idx="4">
                  <c:v>Taycan</c:v>
                </c:pt>
              </c:strCache>
            </c:strRef>
          </c:cat>
          <c:val>
            <c:numRef>
              <c:f>'Porsche Pivot Analysis'!$B$84:$B$89</c:f>
              <c:numCache>
                <c:formatCode>General</c:formatCode>
                <c:ptCount val="5"/>
                <c:pt idx="0">
                  <c:v>1536480000</c:v>
                </c:pt>
                <c:pt idx="1">
                  <c:v>1675500000</c:v>
                </c:pt>
                <c:pt idx="2">
                  <c:v>503550000</c:v>
                </c:pt>
                <c:pt idx="3">
                  <c:v>1641600000</c:v>
                </c:pt>
                <c:pt idx="4">
                  <c:v>1587970000</c:v>
                </c:pt>
              </c:numCache>
            </c:numRef>
          </c:val>
          <c:extLst>
            <c:ext xmlns:c16="http://schemas.microsoft.com/office/drawing/2014/chart" uri="{C3380CC4-5D6E-409C-BE32-E72D297353CC}">
              <c16:uniqueId val="{00000000-4ACF-428D-AC77-92A9518790F5}"/>
            </c:ext>
          </c:extLst>
        </c:ser>
        <c:ser>
          <c:idx val="1"/>
          <c:order val="1"/>
          <c:tx>
            <c:strRef>
              <c:f>'Porsche Pivot Analysis'!$C$82:$C$83</c:f>
              <c:strCache>
                <c:ptCount val="1"/>
                <c:pt idx="0">
                  <c:v>Chennai</c:v>
                </c:pt>
              </c:strCache>
            </c:strRef>
          </c:tx>
          <c:spPr>
            <a:solidFill>
              <a:schemeClr val="bg2">
                <a:lumMod val="50000"/>
              </a:schemeClr>
            </a:solidFill>
            <a:ln>
              <a:noFill/>
            </a:ln>
            <a:effectLst/>
            <a:sp3d/>
          </c:spPr>
          <c:invertIfNegative val="0"/>
          <c:cat>
            <c:strRef>
              <c:f>'Porsche Pivot Analysis'!$A$84:$A$89</c:f>
              <c:strCache>
                <c:ptCount val="5"/>
                <c:pt idx="0">
                  <c:v>911 Carrera</c:v>
                </c:pt>
                <c:pt idx="1">
                  <c:v>Cayenne</c:v>
                </c:pt>
                <c:pt idx="2">
                  <c:v>Macan</c:v>
                </c:pt>
                <c:pt idx="3">
                  <c:v>Panamera</c:v>
                </c:pt>
                <c:pt idx="4">
                  <c:v>Taycan</c:v>
                </c:pt>
              </c:strCache>
            </c:strRef>
          </c:cat>
          <c:val>
            <c:numRef>
              <c:f>'Porsche Pivot Analysis'!$C$84:$C$89</c:f>
              <c:numCache>
                <c:formatCode>General</c:formatCode>
                <c:ptCount val="5"/>
                <c:pt idx="0">
                  <c:v>1775340000</c:v>
                </c:pt>
                <c:pt idx="1">
                  <c:v>1800750000</c:v>
                </c:pt>
                <c:pt idx="2">
                  <c:v>717210000</c:v>
                </c:pt>
                <c:pt idx="3">
                  <c:v>1581440000</c:v>
                </c:pt>
                <c:pt idx="4">
                  <c:v>1465230000</c:v>
                </c:pt>
              </c:numCache>
            </c:numRef>
          </c:val>
          <c:extLst>
            <c:ext xmlns:c16="http://schemas.microsoft.com/office/drawing/2014/chart" uri="{C3380CC4-5D6E-409C-BE32-E72D297353CC}">
              <c16:uniqueId val="{00000001-60F9-43B9-9414-2EF2A09CEE84}"/>
            </c:ext>
          </c:extLst>
        </c:ser>
        <c:ser>
          <c:idx val="2"/>
          <c:order val="2"/>
          <c:tx>
            <c:strRef>
              <c:f>'Porsche Pivot Analysis'!$D$82:$D$83</c:f>
              <c:strCache>
                <c:ptCount val="1"/>
                <c:pt idx="0">
                  <c:v>Delhi</c:v>
                </c:pt>
              </c:strCache>
            </c:strRef>
          </c:tx>
          <c:spPr>
            <a:solidFill>
              <a:schemeClr val="bg2">
                <a:lumMod val="25000"/>
              </a:schemeClr>
            </a:solidFill>
            <a:ln>
              <a:noFill/>
            </a:ln>
            <a:effectLst/>
            <a:sp3d/>
          </c:spPr>
          <c:invertIfNegative val="0"/>
          <c:cat>
            <c:strRef>
              <c:f>'Porsche Pivot Analysis'!$A$84:$A$89</c:f>
              <c:strCache>
                <c:ptCount val="5"/>
                <c:pt idx="0">
                  <c:v>911 Carrera</c:v>
                </c:pt>
                <c:pt idx="1">
                  <c:v>Cayenne</c:v>
                </c:pt>
                <c:pt idx="2">
                  <c:v>Macan</c:v>
                </c:pt>
                <c:pt idx="3">
                  <c:v>Panamera</c:v>
                </c:pt>
                <c:pt idx="4">
                  <c:v>Taycan</c:v>
                </c:pt>
              </c:strCache>
            </c:strRef>
          </c:cat>
          <c:val>
            <c:numRef>
              <c:f>'Porsche Pivot Analysis'!$D$84:$D$89</c:f>
              <c:numCache>
                <c:formatCode>General</c:formatCode>
                <c:ptCount val="5"/>
                <c:pt idx="0">
                  <c:v>1722240000</c:v>
                </c:pt>
                <c:pt idx="1">
                  <c:v>1567500000</c:v>
                </c:pt>
                <c:pt idx="2">
                  <c:v>934290000</c:v>
                </c:pt>
                <c:pt idx="3">
                  <c:v>1913600000</c:v>
                </c:pt>
                <c:pt idx="4">
                  <c:v>1876120000</c:v>
                </c:pt>
              </c:numCache>
            </c:numRef>
          </c:val>
          <c:extLst>
            <c:ext xmlns:c16="http://schemas.microsoft.com/office/drawing/2014/chart" uri="{C3380CC4-5D6E-409C-BE32-E72D297353CC}">
              <c16:uniqueId val="{00000002-60F9-43B9-9414-2EF2A09CEE84}"/>
            </c:ext>
          </c:extLst>
        </c:ser>
        <c:ser>
          <c:idx val="3"/>
          <c:order val="3"/>
          <c:tx>
            <c:strRef>
              <c:f>'Porsche Pivot Analysis'!$E$82:$E$83</c:f>
              <c:strCache>
                <c:ptCount val="1"/>
                <c:pt idx="0">
                  <c:v>Hyderabad</c:v>
                </c:pt>
              </c:strCache>
            </c:strRef>
          </c:tx>
          <c:spPr>
            <a:solidFill>
              <a:schemeClr val="bg2">
                <a:lumMod val="10000"/>
              </a:schemeClr>
            </a:solidFill>
            <a:ln>
              <a:noFill/>
            </a:ln>
            <a:effectLst/>
            <a:sp3d/>
          </c:spPr>
          <c:invertIfNegative val="0"/>
          <c:cat>
            <c:strRef>
              <c:f>'Porsche Pivot Analysis'!$A$84:$A$89</c:f>
              <c:strCache>
                <c:ptCount val="5"/>
                <c:pt idx="0">
                  <c:v>911 Carrera</c:v>
                </c:pt>
                <c:pt idx="1">
                  <c:v>Cayenne</c:v>
                </c:pt>
                <c:pt idx="2">
                  <c:v>Macan</c:v>
                </c:pt>
                <c:pt idx="3">
                  <c:v>Panamera</c:v>
                </c:pt>
                <c:pt idx="4">
                  <c:v>Taycan</c:v>
                </c:pt>
              </c:strCache>
            </c:strRef>
          </c:cat>
          <c:val>
            <c:numRef>
              <c:f>'Porsche Pivot Analysis'!$E$84:$E$89</c:f>
              <c:numCache>
                <c:formatCode>General</c:formatCode>
                <c:ptCount val="5"/>
                <c:pt idx="0">
                  <c:v>1920240000</c:v>
                </c:pt>
                <c:pt idx="1">
                  <c:v>1698750000</c:v>
                </c:pt>
                <c:pt idx="2">
                  <c:v>886680000</c:v>
                </c:pt>
                <c:pt idx="3">
                  <c:v>1612960000</c:v>
                </c:pt>
                <c:pt idx="4">
                  <c:v>1153280000</c:v>
                </c:pt>
              </c:numCache>
            </c:numRef>
          </c:val>
          <c:extLst>
            <c:ext xmlns:c16="http://schemas.microsoft.com/office/drawing/2014/chart" uri="{C3380CC4-5D6E-409C-BE32-E72D297353CC}">
              <c16:uniqueId val="{00000003-60F9-43B9-9414-2EF2A09CEE84}"/>
            </c:ext>
          </c:extLst>
        </c:ser>
        <c:ser>
          <c:idx val="4"/>
          <c:order val="4"/>
          <c:tx>
            <c:strRef>
              <c:f>'Porsche Pivot Analysis'!$F$82:$F$83</c:f>
              <c:strCache>
                <c:ptCount val="1"/>
                <c:pt idx="0">
                  <c:v>Mumbai</c:v>
                </c:pt>
              </c:strCache>
            </c:strRef>
          </c:tx>
          <c:spPr>
            <a:solidFill>
              <a:schemeClr val="bg2">
                <a:lumMod val="90000"/>
              </a:schemeClr>
            </a:solidFill>
            <a:ln>
              <a:noFill/>
            </a:ln>
            <a:effectLst/>
            <a:sp3d/>
          </c:spPr>
          <c:invertIfNegative val="0"/>
          <c:cat>
            <c:strRef>
              <c:f>'Porsche Pivot Analysis'!$A$84:$A$89</c:f>
              <c:strCache>
                <c:ptCount val="5"/>
                <c:pt idx="0">
                  <c:v>911 Carrera</c:v>
                </c:pt>
                <c:pt idx="1">
                  <c:v>Cayenne</c:v>
                </c:pt>
                <c:pt idx="2">
                  <c:v>Macan</c:v>
                </c:pt>
                <c:pt idx="3">
                  <c:v>Panamera</c:v>
                </c:pt>
                <c:pt idx="4">
                  <c:v>Taycan</c:v>
                </c:pt>
              </c:strCache>
            </c:strRef>
          </c:cat>
          <c:val>
            <c:numRef>
              <c:f>'Porsche Pivot Analysis'!$F$84:$F$89</c:f>
              <c:numCache>
                <c:formatCode>General</c:formatCode>
                <c:ptCount val="5"/>
                <c:pt idx="0">
                  <c:v>1898460000</c:v>
                </c:pt>
                <c:pt idx="1">
                  <c:v>1136250000</c:v>
                </c:pt>
                <c:pt idx="2">
                  <c:v>645840000</c:v>
                </c:pt>
                <c:pt idx="3">
                  <c:v>1521440000</c:v>
                </c:pt>
                <c:pt idx="4">
                  <c:v>1988830000</c:v>
                </c:pt>
              </c:numCache>
            </c:numRef>
          </c:val>
          <c:extLst>
            <c:ext xmlns:c16="http://schemas.microsoft.com/office/drawing/2014/chart" uri="{C3380CC4-5D6E-409C-BE32-E72D297353CC}">
              <c16:uniqueId val="{00000004-60F9-43B9-9414-2EF2A09CEE84}"/>
            </c:ext>
          </c:extLst>
        </c:ser>
        <c:dLbls>
          <c:showLegendKey val="0"/>
          <c:showVal val="0"/>
          <c:showCatName val="0"/>
          <c:showSerName val="0"/>
          <c:showPercent val="0"/>
          <c:showBubbleSize val="0"/>
        </c:dLbls>
        <c:gapWidth val="150"/>
        <c:shape val="box"/>
        <c:axId val="1395313631"/>
        <c:axId val="1395317951"/>
        <c:axId val="0"/>
      </c:bar3DChart>
      <c:catAx>
        <c:axId val="1395313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95317951"/>
        <c:crosses val="autoZero"/>
        <c:auto val="1"/>
        <c:lblAlgn val="ctr"/>
        <c:lblOffset val="100"/>
        <c:noMultiLvlLbl val="0"/>
      </c:catAx>
      <c:valAx>
        <c:axId val="1395317951"/>
        <c:scaling>
          <c:orientation val="minMax"/>
        </c:scaling>
        <c:delete val="1"/>
        <c:axPos val="b"/>
        <c:numFmt formatCode="General" sourceLinked="1"/>
        <c:majorTickMark val="none"/>
        <c:minorTickMark val="none"/>
        <c:tickLblPos val="nextTo"/>
        <c:crossAx val="139531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[Rabiya_ProjectRepot_Excel__.xlsx]Porsche Pivot Analysis!PivotTable16</c:name>
    <c:fmtId val="10"/>
  </c:pivotSource>
  <c:chart>
    <c:title>
      <c:tx>
        <c:rich>
          <a:bodyPr rot="0" spcFirstLastPara="1" vertOverflow="ellipsis" wrap="square" anchor="ctr" anchorCtr="1"/>
          <a:lstStyle/>
          <a:p>
            <a:pPr>
              <a:defRPr sz="1400" b="1" i="0" u="none" strike="noStrike" kern="1200" baseline="0">
                <a:solidFill>
                  <a:schemeClr val="tx2"/>
                </a:solidFill>
                <a:latin typeface="+mn-lt"/>
                <a:ea typeface="+mn-ea"/>
                <a:cs typeface="+mn-cs"/>
              </a:defRPr>
            </a:pPr>
            <a:r>
              <a:rPr lang="en-IN" sz="1400" b="1" i="0" u="none" strike="noStrike" baseline="0">
                <a:solidFill>
                  <a:srgbClr val="680000"/>
                </a:solidFill>
                <a:latin typeface="Times New Roman" panose="02020603050405020304" pitchFamily="18" charset="0"/>
                <a:cs typeface="Times New Roman" panose="02020603050405020304" pitchFamily="18" charset="0"/>
              </a:rPr>
              <a:t>Region-wise Sales Volume Analysis</a:t>
            </a:r>
            <a:endParaRPr lang="en-US" sz="1400">
              <a:solidFill>
                <a:srgbClr val="680000"/>
              </a:solidFill>
              <a:latin typeface="Times New Roman" panose="02020603050405020304" pitchFamily="18" charset="0"/>
              <a:cs typeface="Times New Roman" panose="02020603050405020304" pitchFamily="18" charset="0"/>
            </a:endParaRPr>
          </a:p>
        </c:rich>
      </c:tx>
      <c:layout>
        <c:manualLayout>
          <c:xMode val="edge"/>
          <c:yMode val="edge"/>
          <c:x val="0.1125597951468499"/>
          <c:y val="0"/>
        </c:manualLayout>
      </c:layout>
      <c:overlay val="0"/>
      <c:spPr>
        <a:solidFill>
          <a:schemeClr val="bg1"/>
        </a:solidFill>
        <a:ln>
          <a:noFill/>
        </a:ln>
        <a:effectLst/>
      </c:spPr>
      <c:txPr>
        <a:bodyPr rot="0" spcFirstLastPara="1" vertOverflow="ellipsis"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25000"/>
            </a:schemeClr>
          </a:solidFill>
          <a:ln>
            <a:noFill/>
          </a:ln>
          <a:effectLst>
            <a:outerShdw blurRad="40000" dist="23000" dir="5400000" rotWithShape="0">
              <a:srgbClr val="000000">
                <a:alpha val="35000"/>
              </a:srgbClr>
            </a:outerShdw>
          </a:effectLst>
        </c:spPr>
        <c:dLbl>
          <c:idx val="0"/>
          <c:layout>
            <c:manualLayout>
              <c:x val="3.5145063830229112E-2"/>
              <c:y val="9.36428886997782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75000"/>
            </a:schemeClr>
          </a:solidFill>
          <a:ln>
            <a:noFill/>
          </a:ln>
          <a:effectLst>
            <a:outerShdw blurRad="40000" dist="23000" dir="5400000" rotWithShape="0">
              <a:srgbClr val="000000">
                <a:alpha val="35000"/>
              </a:srgbClr>
            </a:outerShdw>
          </a:effectLst>
        </c:spPr>
        <c:dLbl>
          <c:idx val="0"/>
          <c:layout>
            <c:manualLayout>
              <c:x val="1.4305233472491082E-2"/>
              <c:y val="0.125806304406585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lumMod val="50000"/>
            </a:schemeClr>
          </a:solidFill>
          <a:ln>
            <a:noFill/>
          </a:ln>
          <a:effectLst>
            <a:outerShdw blurRad="40000" dist="23000" dir="5400000" rotWithShape="0">
              <a:srgbClr val="000000">
                <a:alpha val="35000"/>
              </a:srgbClr>
            </a:outerShdw>
          </a:effectLst>
        </c:spPr>
        <c:dLbl>
          <c:idx val="0"/>
          <c:layout>
            <c:manualLayout>
              <c:x val="1.8354352149385949E-2"/>
              <c:y val="-4.15780523727401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2">
              <a:lumMod val="10000"/>
            </a:schemeClr>
          </a:solidFill>
          <a:ln>
            <a:noFill/>
          </a:ln>
          <a:effectLst>
            <a:outerShdw blurRad="40000" dist="23000" dir="5400000" rotWithShape="0">
              <a:srgbClr val="000000">
                <a:alpha val="35000"/>
              </a:srgbClr>
            </a:outerShdw>
          </a:effectLst>
        </c:spPr>
        <c:dLbl>
          <c:idx val="0"/>
          <c:layout>
            <c:manualLayout>
              <c:x val="8.3101928245452789E-2"/>
              <c:y val="-2.12808718095784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2">
              <a:lumMod val="90000"/>
            </a:schemeClr>
          </a:solidFill>
          <a:ln>
            <a:noFill/>
          </a:ln>
          <a:effectLst>
            <a:outerShdw blurRad="40000" dist="23000" dir="5400000" rotWithShape="0">
              <a:srgbClr val="000000">
                <a:alpha val="35000"/>
              </a:srgbClr>
            </a:outerShdw>
          </a:effectLst>
        </c:spPr>
      </c:pivotFmt>
    </c:pivotFmts>
    <c:plotArea>
      <c:layout>
        <c:manualLayout>
          <c:layoutTarget val="inner"/>
          <c:xMode val="edge"/>
          <c:yMode val="edge"/>
          <c:x val="8.8904946840821869E-2"/>
          <c:y val="0.26502746877205163"/>
          <c:w val="0.60117632494897122"/>
          <c:h val="0.61715791495948957"/>
        </c:manualLayout>
      </c:layout>
      <c:ofPieChart>
        <c:ofPieType val="pie"/>
        <c:varyColors val="1"/>
        <c:ser>
          <c:idx val="0"/>
          <c:order val="0"/>
          <c:tx>
            <c:strRef>
              <c:f>'Porsche Pivot Analysis'!$B$91</c:f>
              <c:strCache>
                <c:ptCount val="1"/>
                <c:pt idx="0">
                  <c:v>Total</c:v>
                </c:pt>
              </c:strCache>
            </c:strRef>
          </c:tx>
          <c:explosion val="10"/>
          <c:dPt>
            <c:idx val="0"/>
            <c:bubble3D val="0"/>
            <c:spPr>
              <a:solidFill>
                <a:schemeClr val="bg2">
                  <a:lumMod val="25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A40E-4965-B859-435906D6898C}"/>
              </c:ext>
            </c:extLst>
          </c:dPt>
          <c:dPt>
            <c:idx val="1"/>
            <c:bubble3D val="0"/>
            <c:spPr>
              <a:solidFill>
                <a:schemeClr val="bg2">
                  <a:lumMod val="75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A40E-4965-B859-435906D6898C}"/>
              </c:ext>
            </c:extLst>
          </c:dPt>
          <c:dPt>
            <c:idx val="2"/>
            <c:bubble3D val="0"/>
            <c:spPr>
              <a:solidFill>
                <a:schemeClr val="bg2">
                  <a:lumMod val="5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A40E-4965-B859-435906D6898C}"/>
              </c:ext>
            </c:extLst>
          </c:dPt>
          <c:dPt>
            <c:idx val="3"/>
            <c:bubble3D val="0"/>
            <c:spPr>
              <a:solidFill>
                <a:schemeClr val="bg2">
                  <a:lumMod val="1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A40E-4965-B859-435906D6898C}"/>
              </c:ext>
            </c:extLst>
          </c:dPt>
          <c:dPt>
            <c:idx val="4"/>
            <c:bubble3D val="0"/>
            <c:spPr>
              <a:solidFill>
                <a:schemeClr val="bg2">
                  <a:lumMod val="90000"/>
                </a:schemeClr>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A40E-4965-B859-435906D6898C}"/>
              </c:ext>
            </c:extLst>
          </c:dPt>
          <c:dPt>
            <c:idx val="5"/>
            <c:bubble3D val="0"/>
            <c:spPr>
              <a:gradFill rotWithShape="1">
                <a:gsLst>
                  <a:gs pos="0">
                    <a:schemeClr val="dk1">
                      <a:tint val="60000"/>
                      <a:shade val="51000"/>
                      <a:satMod val="130000"/>
                    </a:schemeClr>
                  </a:gs>
                  <a:gs pos="80000">
                    <a:schemeClr val="dk1">
                      <a:tint val="60000"/>
                      <a:shade val="93000"/>
                      <a:satMod val="130000"/>
                    </a:schemeClr>
                  </a:gs>
                  <a:gs pos="100000">
                    <a:schemeClr val="dk1">
                      <a:tint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A40E-4965-B859-435906D6898C}"/>
              </c:ext>
            </c:extLst>
          </c:dPt>
          <c:dLbls>
            <c:dLbl>
              <c:idx val="0"/>
              <c:layout>
                <c:manualLayout>
                  <c:x val="3.5145063830229112E-2"/>
                  <c:y val="9.364288869977820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0E-4965-B859-435906D6898C}"/>
                </c:ext>
              </c:extLst>
            </c:dLbl>
            <c:dLbl>
              <c:idx val="1"/>
              <c:layout>
                <c:manualLayout>
                  <c:x val="1.4305233472491082E-2"/>
                  <c:y val="0.1258063044065855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0E-4965-B859-435906D6898C}"/>
                </c:ext>
              </c:extLst>
            </c:dLbl>
            <c:dLbl>
              <c:idx val="2"/>
              <c:layout>
                <c:manualLayout>
                  <c:x val="1.8354352149385949E-2"/>
                  <c:y val="-4.157805237274017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0E-4965-B859-435906D6898C}"/>
                </c:ext>
              </c:extLst>
            </c:dLbl>
            <c:dLbl>
              <c:idx val="3"/>
              <c:layout>
                <c:manualLayout>
                  <c:x val="8.3101928245452789E-2"/>
                  <c:y val="-2.12808718095784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0E-4965-B859-435906D689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'Porsche Pivot Analysis'!$A$92:$A$97</c:f>
              <c:strCache>
                <c:ptCount val="5"/>
                <c:pt idx="0">
                  <c:v>Bangalore</c:v>
                </c:pt>
                <c:pt idx="1">
                  <c:v>Chennai</c:v>
                </c:pt>
                <c:pt idx="2">
                  <c:v>Delhi</c:v>
                </c:pt>
                <c:pt idx="3">
                  <c:v>Hyderabad</c:v>
                </c:pt>
                <c:pt idx="4">
                  <c:v>Mumbai</c:v>
                </c:pt>
              </c:strCache>
            </c:strRef>
          </c:cat>
          <c:val>
            <c:numRef>
              <c:f>'Porsche Pivot Analysis'!$B$92:$B$97</c:f>
              <c:numCache>
                <c:formatCode>General</c:formatCode>
                <c:ptCount val="5"/>
                <c:pt idx="0">
                  <c:v>467</c:v>
                </c:pt>
                <c:pt idx="1">
                  <c:v>504</c:v>
                </c:pt>
                <c:pt idx="2">
                  <c:v>556</c:v>
                </c:pt>
                <c:pt idx="3">
                  <c:v>508</c:v>
                </c:pt>
                <c:pt idx="4">
                  <c:v>485</c:v>
                </c:pt>
              </c:numCache>
            </c:numRef>
          </c:val>
          <c:extLst>
            <c:ext xmlns:c16="http://schemas.microsoft.com/office/drawing/2014/chart" uri="{C3380CC4-5D6E-409C-BE32-E72D297353CC}">
              <c16:uniqueId val="{0000000C-A40E-4965-B859-435906D6898C}"/>
            </c:ext>
          </c:extLst>
        </c:ser>
        <c:dLbls>
          <c:showLegendKey val="0"/>
          <c:showVal val="0"/>
          <c:showCatName val="0"/>
          <c:showSerName val="0"/>
          <c:showPercent val="0"/>
          <c:showBubbleSize val="0"/>
          <c:showLeaderLines val="1"/>
        </c:dLbls>
        <c:gapWidth val="100"/>
        <c:secondPieSize val="75"/>
        <c:serLines>
          <c:spPr>
            <a:ln w="9525">
              <a:solidFill>
                <a:schemeClr val="tx2">
                  <a:lumMod val="60000"/>
                  <a:lumOff val="40000"/>
                </a:schemeClr>
              </a:solidFill>
              <a:prstDash val="dash"/>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[Rabiya_ProjectRepot_Excel__.xlsx]Porsche Pivot Analysis!PivotTable29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680000"/>
                </a:solidFill>
                <a:latin typeface="Times New Roman" panose="02020603050405020304" pitchFamily="18" charset="0"/>
                <a:cs typeface="Times New Roman" panose="02020603050405020304" pitchFamily="18" charset="0"/>
              </a:rPr>
              <a:t>Model-wise Cost Analysis</a:t>
            </a:r>
            <a:endParaRPr lang="en-US" sz="1400" b="1">
              <a:solidFill>
                <a:srgbClr val="680000"/>
              </a:solidFill>
              <a:latin typeface="Times New Roman" panose="02020603050405020304" pitchFamily="18" charset="0"/>
              <a:cs typeface="Times New Roman" panose="02020603050405020304" pitchFamily="18" charset="0"/>
            </a:endParaRPr>
          </a:p>
        </c:rich>
      </c:tx>
      <c:layout>
        <c:manualLayout>
          <c:xMode val="edge"/>
          <c:yMode val="edge"/>
          <c:x val="0.24552204502923089"/>
          <c:y val="4.778255995358936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596003077007568"/>
                  <c:h val="0.17248470792490103"/>
                </c:manualLayout>
              </c15:layout>
            </c:ext>
          </c:extLst>
        </c:dLbl>
      </c:pivotFmt>
      <c:pivotFmt>
        <c:idx val="4"/>
        <c:spPr>
          <a:solidFill>
            <a:schemeClr val="bg2">
              <a:lumMod val="2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054464322341289"/>
                  <c:h val="0.1103156101546123"/>
                </c:manualLayout>
              </c15:layout>
            </c:ext>
          </c:extLst>
        </c:dLbl>
      </c:pivotFmt>
      <c:pivotFmt>
        <c:idx val="5"/>
        <c:spPr>
          <a:solidFill>
            <a:schemeClr val="bg2">
              <a:lumMod val="50000"/>
            </a:schemeClr>
          </a:solidFill>
          <a:ln>
            <a:noFill/>
          </a:ln>
          <a:effectLst/>
        </c:spPr>
        <c:dLbl>
          <c:idx val="0"/>
          <c:layout>
            <c:manualLayout>
              <c:x val="3.8212561295629971E-2"/>
              <c:y val="1.184891684102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48823492118813"/>
                  <c:h val="0.12413096521467648"/>
                </c:manualLayout>
              </c15:layout>
            </c:ext>
          </c:extLst>
        </c:dLbl>
      </c:pivotFmt>
      <c:pivotFmt>
        <c:idx val="6"/>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054464322341289"/>
                  <c:h val="0.17248470792490103"/>
                </c:manualLayout>
              </c15:layout>
            </c:ext>
          </c:extLst>
        </c:dLbl>
      </c:pivotFmt>
      <c:pivotFmt>
        <c:idx val="7"/>
        <c:spPr>
          <a:solidFill>
            <a:schemeClr val="bg2">
              <a:lumMod val="10000"/>
            </a:schemeClr>
          </a:solidFill>
          <a:ln>
            <a:noFill/>
          </a:ln>
          <a:effectLst/>
        </c:spPr>
        <c:dLbl>
          <c:idx val="0"/>
          <c:layout>
            <c:manualLayout>
              <c:x val="-2.1528034637693885E-2"/>
              <c:y val="-1.3815355060064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23900239319039"/>
                  <c:h val="0.17248470792490103"/>
                </c:manualLayout>
              </c15:layout>
            </c:ext>
          </c:extLst>
        </c:dLbl>
      </c:pivotFmt>
    </c:pivotFmts>
    <c:plotArea>
      <c:layout/>
      <c:barChart>
        <c:barDir val="col"/>
        <c:grouping val="clustered"/>
        <c:varyColors val="0"/>
        <c:ser>
          <c:idx val="0"/>
          <c:order val="0"/>
          <c:tx>
            <c:strRef>
              <c:f>'Porsche Pivot Analysis'!$B$128</c:f>
              <c:strCache>
                <c:ptCount val="1"/>
                <c:pt idx="0">
                  <c:v>Total</c:v>
                </c:pt>
              </c:strCache>
            </c:strRef>
          </c:tx>
          <c:spPr>
            <a:solidFill>
              <a:schemeClr val="dk1">
                <a:tint val="88500"/>
              </a:schemeClr>
            </a:solidFill>
            <a:ln>
              <a:noFill/>
            </a:ln>
            <a:effectLst/>
          </c:spPr>
          <c:invertIfNegative val="0"/>
          <c:dPt>
            <c:idx val="0"/>
            <c:invertIfNegative val="0"/>
            <c:bubble3D val="0"/>
            <c:spPr>
              <a:solidFill>
                <a:schemeClr val="bg2">
                  <a:lumMod val="10000"/>
                </a:schemeClr>
              </a:solidFill>
              <a:ln>
                <a:noFill/>
              </a:ln>
              <a:effectLst/>
            </c:spPr>
            <c:extLst>
              <c:ext xmlns:c16="http://schemas.microsoft.com/office/drawing/2014/chart" uri="{C3380CC4-5D6E-409C-BE32-E72D297353CC}">
                <c16:uniqueId val="{00000004-2F49-4BAF-A41B-54B06B1AA2C9}"/>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2F49-4BAF-A41B-54B06B1AA2C9}"/>
              </c:ext>
            </c:extLst>
          </c:dPt>
          <c:dPt>
            <c:idx val="2"/>
            <c:invertIfNegative val="0"/>
            <c:bubble3D val="0"/>
            <c:spPr>
              <a:solidFill>
                <a:schemeClr val="bg2">
                  <a:lumMod val="90000"/>
                </a:schemeClr>
              </a:solidFill>
              <a:ln>
                <a:noFill/>
              </a:ln>
              <a:effectLst/>
            </c:spPr>
            <c:extLst>
              <c:ext xmlns:c16="http://schemas.microsoft.com/office/drawing/2014/chart" uri="{C3380CC4-5D6E-409C-BE32-E72D297353CC}">
                <c16:uniqueId val="{00000000-2F49-4BAF-A41B-54B06B1AA2C9}"/>
              </c:ext>
            </c:extLst>
          </c:dPt>
          <c:dPt>
            <c:idx val="3"/>
            <c:invertIfNegative val="0"/>
            <c:bubble3D val="0"/>
            <c:spPr>
              <a:solidFill>
                <a:schemeClr val="bg2">
                  <a:lumMod val="25000"/>
                </a:schemeClr>
              </a:solidFill>
              <a:ln>
                <a:noFill/>
              </a:ln>
              <a:effectLst/>
            </c:spPr>
            <c:extLst>
              <c:ext xmlns:c16="http://schemas.microsoft.com/office/drawing/2014/chart" uri="{C3380CC4-5D6E-409C-BE32-E72D297353CC}">
                <c16:uniqueId val="{00000001-2F49-4BAF-A41B-54B06B1AA2C9}"/>
              </c:ext>
            </c:extLst>
          </c:dPt>
          <c:dPt>
            <c:idx val="4"/>
            <c:invertIfNegative val="0"/>
            <c:bubble3D val="0"/>
            <c:spPr>
              <a:solidFill>
                <a:schemeClr val="bg2">
                  <a:lumMod val="50000"/>
                </a:schemeClr>
              </a:solidFill>
              <a:ln>
                <a:noFill/>
              </a:ln>
              <a:effectLst/>
            </c:spPr>
            <c:extLst>
              <c:ext xmlns:c16="http://schemas.microsoft.com/office/drawing/2014/chart" uri="{C3380CC4-5D6E-409C-BE32-E72D297353CC}">
                <c16:uniqueId val="{00000002-2F49-4BAF-A41B-54B06B1AA2C9}"/>
              </c:ext>
            </c:extLst>
          </c:dPt>
          <c:dLbls>
            <c:dLbl>
              <c:idx val="0"/>
              <c:layout>
                <c:manualLayout>
                  <c:x val="-2.1528034637693885E-2"/>
                  <c:y val="-1.38153550600641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623900239319039"/>
                      <c:h val="0.17248470792490103"/>
                    </c:manualLayout>
                  </c15:layout>
                </c:ext>
                <c:ext xmlns:c16="http://schemas.microsoft.com/office/drawing/2014/chart" uri="{C3380CC4-5D6E-409C-BE32-E72D297353CC}">
                  <c16:uniqueId val="{00000004-2F49-4BAF-A41B-54B06B1AA2C9}"/>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9054464322341289"/>
                      <c:h val="0.17248470792490103"/>
                    </c:manualLayout>
                  </c15:layout>
                </c:ext>
                <c:ext xmlns:c16="http://schemas.microsoft.com/office/drawing/2014/chart" uri="{C3380CC4-5D6E-409C-BE32-E72D297353CC}">
                  <c16:uniqueId val="{00000003-2F49-4BAF-A41B-54B06B1AA2C9}"/>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596003077007568"/>
                      <c:h val="0.17248470792490103"/>
                    </c:manualLayout>
                  </c15:layout>
                </c:ext>
                <c:ext xmlns:c16="http://schemas.microsoft.com/office/drawing/2014/chart" uri="{C3380CC4-5D6E-409C-BE32-E72D297353CC}">
                  <c16:uniqueId val="{00000000-2F49-4BAF-A41B-54B06B1AA2C9}"/>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054464322341289"/>
                      <c:h val="0.1103156101546123"/>
                    </c:manualLayout>
                  </c15:layout>
                </c:ext>
                <c:ext xmlns:c16="http://schemas.microsoft.com/office/drawing/2014/chart" uri="{C3380CC4-5D6E-409C-BE32-E72D297353CC}">
                  <c16:uniqueId val="{00000001-2F49-4BAF-A41B-54B06B1AA2C9}"/>
                </c:ext>
              </c:extLst>
            </c:dLbl>
            <c:dLbl>
              <c:idx val="4"/>
              <c:layout>
                <c:manualLayout>
                  <c:x val="3.8212561295629971E-2"/>
                  <c:y val="1.184891684102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48823492118813"/>
                      <c:h val="0.12413096521467648"/>
                    </c:manualLayout>
                  </c15:layout>
                </c:ext>
                <c:ext xmlns:c16="http://schemas.microsoft.com/office/drawing/2014/chart" uri="{C3380CC4-5D6E-409C-BE32-E72D297353CC}">
                  <c16:uniqueId val="{00000002-2F49-4BAF-A41B-54B06B1AA2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'Porsche Pivot Analysis'!$A$129:$A$134</c:f>
              <c:strCache>
                <c:ptCount val="5"/>
                <c:pt idx="0">
                  <c:v>911 Carrera</c:v>
                </c:pt>
                <c:pt idx="1">
                  <c:v>Cayenne</c:v>
                </c:pt>
                <c:pt idx="2">
                  <c:v>Macan</c:v>
                </c:pt>
                <c:pt idx="3">
                  <c:v>Panamera</c:v>
                </c:pt>
                <c:pt idx="4">
                  <c:v>Taycan</c:v>
                </c:pt>
              </c:strCache>
            </c:strRef>
          </c:cat>
          <c:val>
            <c:numRef>
              <c:f>'Porsche Pivot Analysis'!$B$129:$B$134</c:f>
              <c:numCache>
                <c:formatCode>General</c:formatCode>
                <c:ptCount val="5"/>
                <c:pt idx="0">
                  <c:v>7387200000</c:v>
                </c:pt>
                <c:pt idx="1">
                  <c:v>6564000000</c:v>
                </c:pt>
                <c:pt idx="2">
                  <c:v>3074400000</c:v>
                </c:pt>
                <c:pt idx="3">
                  <c:v>6886400000</c:v>
                </c:pt>
                <c:pt idx="4">
                  <c:v>6732000000</c:v>
                </c:pt>
              </c:numCache>
            </c:numRef>
          </c:val>
          <c:extLst>
            <c:ext xmlns:c16="http://schemas.microsoft.com/office/drawing/2014/chart" uri="{C3380CC4-5D6E-409C-BE32-E72D297353CC}">
              <c16:uniqueId val="{00000000-5CC4-4858-BD0B-BEEFC427DE46}"/>
            </c:ext>
          </c:extLst>
        </c:ser>
        <c:dLbls>
          <c:dLblPos val="outEnd"/>
          <c:showLegendKey val="0"/>
          <c:showVal val="1"/>
          <c:showCatName val="0"/>
          <c:showSerName val="0"/>
          <c:showPercent val="0"/>
          <c:showBubbleSize val="0"/>
        </c:dLbls>
        <c:gapWidth val="219"/>
        <c:overlap val="-27"/>
        <c:axId val="388160959"/>
        <c:axId val="388161919"/>
      </c:barChart>
      <c:catAx>
        <c:axId val="38816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88161919"/>
        <c:crosses val="autoZero"/>
        <c:auto val="1"/>
        <c:lblAlgn val="ctr"/>
        <c:lblOffset val="100"/>
        <c:noMultiLvlLbl val="0"/>
      </c:catAx>
      <c:valAx>
        <c:axId val="388161919"/>
        <c:scaling>
          <c:orientation val="minMax"/>
        </c:scaling>
        <c:delete val="1"/>
        <c:axPos val="l"/>
        <c:numFmt formatCode="General" sourceLinked="1"/>
        <c:majorTickMark val="none"/>
        <c:minorTickMark val="none"/>
        <c:tickLblPos val="nextTo"/>
        <c:crossAx val="38816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[Rabiya_ProjectRepot_Excel__.xlsx]Porsche Pivot Analysis!PivotTable10</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baseline="0">
                <a:solidFill>
                  <a:srgbClr val="680000"/>
                </a:solidFill>
                <a:latin typeface="Times New Roman" panose="02020603050405020304" pitchFamily="18" charset="0"/>
                <a:cs typeface="Times New Roman" panose="02020603050405020304" pitchFamily="18" charset="0"/>
              </a:rPr>
              <a:t>Monthly Revenue Trend Analysis</a:t>
            </a:r>
          </a:p>
        </c:rich>
      </c:tx>
      <c:layout>
        <c:manualLayout>
          <c:xMode val="edge"/>
          <c:yMode val="edge"/>
          <c:x val="0.13052964441254217"/>
          <c:y val="1.243712884473762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
        <c:idx val="9"/>
        <c:spPr>
          <a:solidFill>
            <a:schemeClr val="dk1">
              <a:tint val="88500"/>
            </a:schemeClr>
          </a:solidFill>
          <a:ln w="19050">
            <a:solidFill>
              <a:schemeClr val="lt1"/>
            </a:solidFill>
          </a:ln>
          <a:effectLst/>
        </c:spPr>
      </c:pivotFmt>
      <c:pivotFmt>
        <c:idx val="10"/>
        <c:spPr>
          <a:solidFill>
            <a:schemeClr val="dk1">
              <a:tint val="88500"/>
            </a:schemeClr>
          </a:solidFill>
          <a:ln w="19050">
            <a:solidFill>
              <a:schemeClr val="lt1"/>
            </a:solidFill>
          </a:ln>
          <a:effectLst/>
        </c:spPr>
      </c:pivotFmt>
      <c:pivotFmt>
        <c:idx val="11"/>
        <c:spPr>
          <a:solidFill>
            <a:schemeClr val="dk1">
              <a:tint val="88500"/>
            </a:schemeClr>
          </a:solidFill>
          <a:ln w="19050">
            <a:solidFill>
              <a:schemeClr val="lt1"/>
            </a:solidFill>
          </a:ln>
          <a:effectLst/>
        </c:spPr>
      </c:pivotFmt>
      <c:pivotFmt>
        <c:idx val="12"/>
        <c:spPr>
          <a:solidFill>
            <a:schemeClr val="dk1">
              <a:tint val="88500"/>
            </a:schemeClr>
          </a:solidFill>
          <a:ln w="19050">
            <a:solidFill>
              <a:schemeClr val="lt1"/>
            </a:solidFill>
          </a:ln>
          <a:effectLst/>
        </c:spPr>
      </c:pivotFmt>
      <c:pivotFmt>
        <c:idx val="13"/>
        <c:spPr>
          <a:solidFill>
            <a:schemeClr val="dk1">
              <a:tint val="88500"/>
            </a:schemeClr>
          </a:solidFill>
          <a:ln w="19050">
            <a:solidFill>
              <a:schemeClr val="lt1"/>
            </a:solidFill>
          </a:ln>
          <a:effectLst/>
        </c:spPr>
      </c:pivotFmt>
      <c:pivotFmt>
        <c:idx val="14"/>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lumMod val="25000"/>
            </a:schemeClr>
          </a:solidFill>
          <a:ln w="19050">
            <a:solidFill>
              <a:schemeClr val="lt1"/>
            </a:solidFill>
          </a:ln>
          <a:effectLst/>
        </c:spPr>
        <c:dLbl>
          <c:idx val="0"/>
          <c:layout>
            <c:manualLayout>
              <c:x val="8.7337971300536318E-2"/>
              <c:y val="6.22533453300841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602989331666149"/>
                  <c:h val="9.0895621339815769E-2"/>
                </c:manualLayout>
              </c15:layout>
            </c:ext>
          </c:extLst>
        </c:dLbl>
      </c:pivotFmt>
      <c:pivotFmt>
        <c:idx val="16"/>
        <c:spPr>
          <a:solidFill>
            <a:schemeClr val="bg2">
              <a:lumMod val="75000"/>
            </a:schemeClr>
          </a:solidFill>
          <a:ln w="19050">
            <a:solidFill>
              <a:schemeClr val="lt1"/>
            </a:solidFill>
          </a:ln>
          <a:effectLst/>
        </c:spPr>
        <c:dLbl>
          <c:idx val="0"/>
          <c:layout>
            <c:manualLayout>
              <c:x val="5.2579006049185931E-2"/>
              <c:y val="4.59419944740798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46462461366343"/>
                  <c:h val="9.0895621339815769E-2"/>
                </c:manualLayout>
              </c15:layout>
            </c:ext>
          </c:extLst>
        </c:dLbl>
      </c:pivotFmt>
      <c:pivotFmt>
        <c:idx val="17"/>
        <c:spPr>
          <a:solidFill>
            <a:schemeClr val="bg2">
              <a:lumMod val="50000"/>
            </a:schemeClr>
          </a:solidFill>
          <a:ln w="19050">
            <a:solidFill>
              <a:schemeClr val="lt1"/>
            </a:solidFill>
          </a:ln>
          <a:effectLst/>
        </c:spPr>
        <c:dLbl>
          <c:idx val="0"/>
          <c:layout>
            <c:manualLayout>
              <c:x val="4.0804856082897717E-2"/>
              <c:y val="-1.266218071840875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327805940070903"/>
                  <c:h val="9.8184659653985942E-2"/>
                </c:manualLayout>
              </c15:layout>
            </c:ext>
          </c:extLst>
        </c:dLbl>
      </c:pivotFmt>
      <c:pivotFmt>
        <c:idx val="18"/>
        <c:spPr>
          <a:solidFill>
            <a:schemeClr val="bg2">
              <a:lumMod val="10000"/>
            </a:schemeClr>
          </a:solidFill>
          <a:ln w="19050">
            <a:solidFill>
              <a:schemeClr val="lt1"/>
            </a:solidFill>
          </a:ln>
          <a:effectLst/>
        </c:spPr>
        <c:dLbl>
          <c:idx val="0"/>
          <c:layout>
            <c:manualLayout>
              <c:x val="1.4850033998196505E-2"/>
              <c:y val="-1.3295527407870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46462461366343"/>
                  <c:h val="8.6111641269299155E-2"/>
                </c:manualLayout>
              </c15:layout>
            </c:ext>
          </c:extLst>
        </c:dLbl>
      </c:pivotFmt>
      <c:pivotFmt>
        <c:idx val="19"/>
        <c:spPr>
          <a:solidFill>
            <a:schemeClr val="bg2">
              <a:lumMod val="90000"/>
            </a:schemeClr>
          </a:solidFill>
          <a:ln w="19050">
            <a:solidFill>
              <a:schemeClr val="lt1"/>
            </a:solidFill>
          </a:ln>
          <a:effectLst/>
        </c:spPr>
        <c:dLbl>
          <c:idx val="0"/>
          <c:layout>
            <c:manualLayout>
              <c:x val="1.9451753650758654E-2"/>
              <c:y val="5.73862007896751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618712818656645"/>
                  <c:h val="8.4516981245793613E-2"/>
                </c:manualLayout>
              </c15:layout>
            </c:ext>
          </c:extLst>
        </c:dLbl>
      </c:pivotFmt>
      <c:pivotFmt>
        <c:idx val="20"/>
        <c:spPr>
          <a:solidFill>
            <a:schemeClr val="bg2">
              <a:lumMod val="75000"/>
            </a:schemeClr>
          </a:solidFill>
          <a:ln w="19050">
            <a:solidFill>
              <a:schemeClr val="lt1"/>
            </a:solidFill>
          </a:ln>
          <a:effectLst/>
        </c:spPr>
        <c:dLbl>
          <c:idx val="0"/>
          <c:layout>
            <c:manualLayout>
              <c:x val="3.1120169655728468E-2"/>
              <c:y val="5.60840970329904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464611358922097"/>
                  <c:h val="6.0596900142259408E-2"/>
                </c:manualLayout>
              </c15:layout>
            </c:ext>
          </c:extLst>
        </c:dLbl>
      </c:pivotFmt>
      <c:pivotFmt>
        <c:idx val="21"/>
        <c:spPr>
          <a:solidFill>
            <a:schemeClr val="bg2">
              <a:lumMod val="50000"/>
            </a:schemeClr>
          </a:solidFill>
          <a:ln w="19050">
            <a:solidFill>
              <a:schemeClr val="lt1"/>
            </a:solidFill>
          </a:ln>
          <a:effectLst/>
        </c:spPr>
        <c:dLbl>
          <c:idx val="0"/>
          <c:layout>
            <c:manualLayout>
              <c:x val="-8.1855351789742001E-2"/>
              <c:y val="4.30332191540014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187895177658002"/>
                  <c:h val="9.0895621339815769E-2"/>
                </c:manualLayout>
              </c15:layout>
            </c:ext>
          </c:extLst>
        </c:dLbl>
      </c:pivotFmt>
      <c:pivotFmt>
        <c:idx val="22"/>
        <c:spPr>
          <a:solidFill>
            <a:schemeClr val="bg2">
              <a:lumMod val="25000"/>
            </a:schemeClr>
          </a:solidFill>
          <a:ln w="19050">
            <a:solidFill>
              <a:schemeClr val="lt1"/>
            </a:solidFill>
          </a:ln>
          <a:effectLst/>
        </c:spPr>
        <c:dLbl>
          <c:idx val="0"/>
          <c:layout>
            <c:manualLayout>
              <c:x val="-4.7389940509850625E-2"/>
              <c:y val="1.687577221725547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187895177658002"/>
                  <c:h val="8.6111641269299155E-2"/>
                </c:manualLayout>
              </c15:layout>
            </c:ext>
          </c:extLst>
        </c:dLbl>
      </c:pivotFmt>
      <c:pivotFmt>
        <c:idx val="23"/>
        <c:spPr>
          <a:solidFill>
            <a:schemeClr val="bg2">
              <a:lumMod val="75000"/>
            </a:schemeClr>
          </a:solidFill>
          <a:ln w="19050">
            <a:solidFill>
              <a:schemeClr val="lt1"/>
            </a:solidFill>
          </a:ln>
          <a:effectLst/>
        </c:spPr>
        <c:dLbl>
          <c:idx val="0"/>
          <c:layout>
            <c:manualLayout>
              <c:x val="-3.8773587689877785E-2"/>
              <c:y val="3.1110686984560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31053640867022"/>
                  <c:h val="9.0895621339815769E-2"/>
                </c:manualLayout>
              </c15:layout>
            </c:ext>
          </c:extLst>
        </c:dLbl>
      </c:pivotFmt>
      <c:pivotFmt>
        <c:idx val="24"/>
        <c:spPr>
          <a:solidFill>
            <a:schemeClr val="bg2">
              <a:lumMod val="50000"/>
            </a:schemeClr>
          </a:solidFill>
          <a:ln w="19050">
            <a:solidFill>
              <a:schemeClr val="lt1"/>
            </a:solidFill>
          </a:ln>
          <a:effectLst/>
        </c:spPr>
        <c:dLbl>
          <c:idx val="0"/>
          <c:layout>
            <c:manualLayout>
              <c:x val="-6.0314469739809889E-2"/>
              <c:y val="3.1855531335697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895442254662073"/>
                  <c:h val="9.0895621339815769E-2"/>
                </c:manualLayout>
              </c15:layout>
            </c:ext>
          </c:extLst>
        </c:dLbl>
      </c:pivotFmt>
      <c:pivotFmt>
        <c:idx val="25"/>
        <c:spPr>
          <a:solidFill>
            <a:schemeClr val="bg2">
              <a:lumMod val="10000"/>
            </a:schemeClr>
          </a:solidFill>
          <a:ln w="19050">
            <a:solidFill>
              <a:schemeClr val="lt1"/>
            </a:solidFill>
          </a:ln>
          <a:effectLst/>
        </c:spPr>
        <c:dLbl>
          <c:idx val="0"/>
          <c:layout>
            <c:manualLayout>
              <c:x val="-7.3238998969769153E-2"/>
              <c:y val="4.41130676738556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295599587907661"/>
                  <c:h val="9.0895621339815769E-2"/>
                </c:manualLayout>
              </c15:layout>
            </c:ext>
          </c:extLst>
        </c:dLbl>
      </c:pivotFmt>
      <c:pivotFmt>
        <c:idx val="26"/>
        <c:spPr>
          <a:solidFill>
            <a:schemeClr val="bg2">
              <a:lumMod val="90000"/>
            </a:schemeClr>
          </a:solidFill>
          <a:ln w="19050">
            <a:solidFill>
              <a:schemeClr val="lt1"/>
            </a:solidFill>
          </a:ln>
          <a:effectLst/>
        </c:spPr>
        <c:dLbl>
          <c:idx val="0"/>
          <c:layout>
            <c:manualLayout>
              <c:x val="2.1540882049932104E-2"/>
              <c:y val="-3.18294140691706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618712818656645"/>
                  <c:h val="9.0895621339815769E-2"/>
                </c:manualLayout>
              </c15:layout>
            </c:ext>
          </c:extLst>
        </c:dLbl>
      </c:pivotFmt>
    </c:pivotFmts>
    <c:plotArea>
      <c:layout/>
      <c:pieChart>
        <c:varyColors val="1"/>
        <c:ser>
          <c:idx val="0"/>
          <c:order val="0"/>
          <c:tx>
            <c:strRef>
              <c:f>'Porsche Pivot Analysis'!$B$35</c:f>
              <c:strCache>
                <c:ptCount val="1"/>
                <c:pt idx="0">
                  <c:v>Total</c:v>
                </c:pt>
              </c:strCache>
            </c:strRef>
          </c:tx>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054D-4CF8-9DC6-FC6455016FAC}"/>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054D-4CF8-9DC6-FC6455016FAC}"/>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054D-4CF8-9DC6-FC6455016FAC}"/>
              </c:ext>
            </c:extLst>
          </c:dPt>
          <c:dPt>
            <c:idx val="3"/>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07-054D-4CF8-9DC6-FC6455016FAC}"/>
              </c:ext>
            </c:extLst>
          </c:dPt>
          <c:dPt>
            <c:idx val="4"/>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9-054D-4CF8-9DC6-FC6455016FAC}"/>
              </c:ext>
            </c:extLst>
          </c:dPt>
          <c:dPt>
            <c:idx val="5"/>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B-054D-4CF8-9DC6-FC6455016FAC}"/>
              </c:ext>
            </c:extLst>
          </c:dPt>
          <c:dPt>
            <c:idx val="6"/>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D-054D-4CF8-9DC6-FC6455016FAC}"/>
              </c:ext>
            </c:extLst>
          </c:dPt>
          <c:dPt>
            <c:idx val="7"/>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F-054D-4CF8-9DC6-FC6455016FAC}"/>
              </c:ext>
            </c:extLst>
          </c:dPt>
          <c:dPt>
            <c:idx val="8"/>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11-054D-4CF8-9DC6-FC6455016FAC}"/>
              </c:ext>
            </c:extLst>
          </c:dPt>
          <c:dPt>
            <c:idx val="9"/>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13-054D-4CF8-9DC6-FC6455016FAC}"/>
              </c:ext>
            </c:extLst>
          </c:dPt>
          <c:dPt>
            <c:idx val="10"/>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15-054D-4CF8-9DC6-FC6455016FAC}"/>
              </c:ext>
            </c:extLst>
          </c:dPt>
          <c:dPt>
            <c:idx val="1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17-054D-4CF8-9DC6-FC6455016FAC}"/>
              </c:ext>
            </c:extLst>
          </c:dPt>
          <c:dLbls>
            <c:dLbl>
              <c:idx val="0"/>
              <c:layout>
                <c:manualLayout>
                  <c:x val="8.7337971300536318E-2"/>
                  <c:y val="6.2253345330084133E-3"/>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602989331666149"/>
                      <c:h val="9.0895621339815769E-2"/>
                    </c:manualLayout>
                  </c15:layout>
                </c:ext>
                <c:ext xmlns:c16="http://schemas.microsoft.com/office/drawing/2014/chart" uri="{C3380CC4-5D6E-409C-BE32-E72D297353CC}">
                  <c16:uniqueId val="{00000001-054D-4CF8-9DC6-FC6455016FAC}"/>
                </c:ext>
              </c:extLst>
            </c:dLbl>
            <c:dLbl>
              <c:idx val="1"/>
              <c:layout>
                <c:manualLayout>
                  <c:x val="5.2579006049185931E-2"/>
                  <c:y val="4.5941994474079838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746462461366343"/>
                      <c:h val="9.0895621339815769E-2"/>
                    </c:manualLayout>
                  </c15:layout>
                </c:ext>
                <c:ext xmlns:c16="http://schemas.microsoft.com/office/drawing/2014/chart" uri="{C3380CC4-5D6E-409C-BE32-E72D297353CC}">
                  <c16:uniqueId val="{00000003-054D-4CF8-9DC6-FC6455016FAC}"/>
                </c:ext>
              </c:extLst>
            </c:dLbl>
            <c:dLbl>
              <c:idx val="2"/>
              <c:layout>
                <c:manualLayout>
                  <c:x val="4.0804856082897717E-2"/>
                  <c:y val="-1.266218071840875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327805940070903"/>
                      <c:h val="9.8184659653985942E-2"/>
                    </c:manualLayout>
                  </c15:layout>
                </c:ext>
                <c:ext xmlns:c16="http://schemas.microsoft.com/office/drawing/2014/chart" uri="{C3380CC4-5D6E-409C-BE32-E72D297353CC}">
                  <c16:uniqueId val="{00000005-054D-4CF8-9DC6-FC6455016FAC}"/>
                </c:ext>
              </c:extLst>
            </c:dLbl>
            <c:dLbl>
              <c:idx val="3"/>
              <c:layout>
                <c:manualLayout>
                  <c:x val="1.4850033998196505E-2"/>
                  <c:y val="-1.3295527407870151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746462461366343"/>
                      <c:h val="8.6111641269299155E-2"/>
                    </c:manualLayout>
                  </c15:layout>
                </c:ext>
                <c:ext xmlns:c16="http://schemas.microsoft.com/office/drawing/2014/chart" uri="{C3380CC4-5D6E-409C-BE32-E72D297353CC}">
                  <c16:uniqueId val="{00000007-054D-4CF8-9DC6-FC6455016FAC}"/>
                </c:ext>
              </c:extLst>
            </c:dLbl>
            <c:dLbl>
              <c:idx val="4"/>
              <c:layout>
                <c:manualLayout>
                  <c:x val="1.9451753650758654E-2"/>
                  <c:y val="5.73862007896751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618712818656645"/>
                      <c:h val="8.4516981245793613E-2"/>
                    </c:manualLayout>
                  </c15:layout>
                </c:ext>
                <c:ext xmlns:c16="http://schemas.microsoft.com/office/drawing/2014/chart" uri="{C3380CC4-5D6E-409C-BE32-E72D297353CC}">
                  <c16:uniqueId val="{00000009-054D-4CF8-9DC6-FC6455016FAC}"/>
                </c:ext>
              </c:extLst>
            </c:dLbl>
            <c:dLbl>
              <c:idx val="5"/>
              <c:layout>
                <c:manualLayout>
                  <c:x val="3.1120169655728468E-2"/>
                  <c:y val="5.60840970329904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464611358922097"/>
                      <c:h val="6.0596900142259408E-2"/>
                    </c:manualLayout>
                  </c15:layout>
                </c:ext>
                <c:ext xmlns:c16="http://schemas.microsoft.com/office/drawing/2014/chart" uri="{C3380CC4-5D6E-409C-BE32-E72D297353CC}">
                  <c16:uniqueId val="{0000000B-054D-4CF8-9DC6-FC6455016FAC}"/>
                </c:ext>
              </c:extLst>
            </c:dLbl>
            <c:dLbl>
              <c:idx val="6"/>
              <c:layout>
                <c:manualLayout>
                  <c:x val="-8.1855351789742001E-2"/>
                  <c:y val="4.3033219154001469E-3"/>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9187895177658002"/>
                      <c:h val="9.0895621339815769E-2"/>
                    </c:manualLayout>
                  </c15:layout>
                </c:ext>
                <c:ext xmlns:c16="http://schemas.microsoft.com/office/drawing/2014/chart" uri="{C3380CC4-5D6E-409C-BE32-E72D297353CC}">
                  <c16:uniqueId val="{0000000D-054D-4CF8-9DC6-FC6455016FAC}"/>
                </c:ext>
              </c:extLst>
            </c:dLbl>
            <c:dLbl>
              <c:idx val="7"/>
              <c:layout>
                <c:manualLayout>
                  <c:x val="-4.7389940509850625E-2"/>
                  <c:y val="1.6875772217255476E-3"/>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9187895177658002"/>
                      <c:h val="8.6111641269299155E-2"/>
                    </c:manualLayout>
                  </c15:layout>
                </c:ext>
                <c:ext xmlns:c16="http://schemas.microsoft.com/office/drawing/2014/chart" uri="{C3380CC4-5D6E-409C-BE32-E72D297353CC}">
                  <c16:uniqueId val="{0000000F-054D-4CF8-9DC6-FC6455016FAC}"/>
                </c:ext>
              </c:extLst>
            </c:dLbl>
            <c:dLbl>
              <c:idx val="8"/>
              <c:layout>
                <c:manualLayout>
                  <c:x val="-3.8773587689877785E-2"/>
                  <c:y val="3.1110686984560678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531053640867022"/>
                      <c:h val="9.0895621339815769E-2"/>
                    </c:manualLayout>
                  </c15:layout>
                </c:ext>
                <c:ext xmlns:c16="http://schemas.microsoft.com/office/drawing/2014/chart" uri="{C3380CC4-5D6E-409C-BE32-E72D297353CC}">
                  <c16:uniqueId val="{00000011-054D-4CF8-9DC6-FC6455016FAC}"/>
                </c:ext>
              </c:extLst>
            </c:dLbl>
            <c:dLbl>
              <c:idx val="9"/>
              <c:layout>
                <c:manualLayout>
                  <c:x val="-6.0314469739809889E-2"/>
                  <c:y val="3.1855531335697282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7895442254662073"/>
                      <c:h val="9.0895621339815769E-2"/>
                    </c:manualLayout>
                  </c15:layout>
                </c:ext>
                <c:ext xmlns:c16="http://schemas.microsoft.com/office/drawing/2014/chart" uri="{C3380CC4-5D6E-409C-BE32-E72D297353CC}">
                  <c16:uniqueId val="{00000013-054D-4CF8-9DC6-FC6455016FAC}"/>
                </c:ext>
              </c:extLst>
            </c:dLbl>
            <c:dLbl>
              <c:idx val="10"/>
              <c:layout>
                <c:manualLayout>
                  <c:x val="-7.3238998969769153E-2"/>
                  <c:y val="4.4113067673855616E-3"/>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9295599587907661"/>
                      <c:h val="9.0895621339815769E-2"/>
                    </c:manualLayout>
                  </c15:layout>
                </c:ext>
                <c:ext xmlns:c16="http://schemas.microsoft.com/office/drawing/2014/chart" uri="{C3380CC4-5D6E-409C-BE32-E72D297353CC}">
                  <c16:uniqueId val="{00000015-054D-4CF8-9DC6-FC6455016FAC}"/>
                </c:ext>
              </c:extLst>
            </c:dLbl>
            <c:dLbl>
              <c:idx val="11"/>
              <c:layout>
                <c:manualLayout>
                  <c:x val="2.1540882049932104E-2"/>
                  <c:y val="-3.1829414069170607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9618712818656645"/>
                      <c:h val="9.0895621339815769E-2"/>
                    </c:manualLayout>
                  </c15:layout>
                </c:ext>
                <c:ext xmlns:c16="http://schemas.microsoft.com/office/drawing/2014/chart" uri="{C3380CC4-5D6E-409C-BE32-E72D297353CC}">
                  <c16:uniqueId val="{00000017-054D-4CF8-9DC6-FC6455016F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'Porsche Pivot Analysis'!$A$36:$A$48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'Porsche Pivot Analysis'!$B$36:$B$48</c:f>
              <c:numCache>
                <c:formatCode>General</c:formatCode>
                <c:ptCount val="12"/>
                <c:pt idx="0">
                  <c:v>3166800000</c:v>
                </c:pt>
                <c:pt idx="1">
                  <c:v>3438080000</c:v>
                </c:pt>
                <c:pt idx="2">
                  <c:v>3597160000</c:v>
                </c:pt>
                <c:pt idx="3">
                  <c:v>3162580000</c:v>
                </c:pt>
                <c:pt idx="4">
                  <c:v>3538640000</c:v>
                </c:pt>
                <c:pt idx="5">
                  <c:v>3533480000</c:v>
                </c:pt>
                <c:pt idx="6">
                  <c:v>3336070000</c:v>
                </c:pt>
                <c:pt idx="7">
                  <c:v>3203200000</c:v>
                </c:pt>
                <c:pt idx="8">
                  <c:v>3254050000</c:v>
                </c:pt>
                <c:pt idx="9">
                  <c:v>2231950000</c:v>
                </c:pt>
                <c:pt idx="10">
                  <c:v>2218010000</c:v>
                </c:pt>
                <c:pt idx="11">
                  <c:v>2081530000</c:v>
                </c:pt>
              </c:numCache>
            </c:numRef>
          </c:val>
          <c:extLst>
            <c:ext xmlns:c16="http://schemas.microsoft.com/office/drawing/2014/chart" uri="{C3380CC4-5D6E-409C-BE32-E72D297353CC}">
              <c16:uniqueId val="{00000018-054D-4CF8-9DC6-FC6455016FA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[Rabiya_ProjectRepot_Excel__.xlsx]Porsche Pivot Analysis!PivotTable13</c:name>
    <c:fmtId val="2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a:solidFill>
                  <a:srgbClr val="680000"/>
                </a:solidFill>
                <a:latin typeface="Times New Roman" panose="02020603050405020304" pitchFamily="18" charset="0"/>
                <a:cs typeface="Times New Roman" panose="02020603050405020304" pitchFamily="18" charset="0"/>
              </a:rPr>
              <a:t>GST Contribution by Model</a:t>
            </a:r>
            <a:endParaRPr lang="en-US" sz="1400" b="1" i="0" u="none" strike="noStrike" baseline="0">
              <a:solidFill>
                <a:srgbClr val="680000"/>
              </a:solidFill>
              <a:latin typeface="Times New Roman" panose="02020603050405020304" pitchFamily="18" charset="0"/>
              <a:cs typeface="Times New Roman" panose="02020603050405020304" pitchFamily="18" charset="0"/>
            </a:endParaRPr>
          </a:p>
          <a:p>
            <a:pPr marL="0" marR="0" lvl="0" indent="0" algn="ctr" defTabSz="914400" rtl="0" eaLnBrk="1" fontAlgn="auto" latinLnBrk="0" hangingPunct="1">
              <a:lnSpc>
                <a:spcPct val="100000"/>
              </a:lnSpc>
              <a:spcBef>
                <a:spcPts val="0"/>
              </a:spcBef>
              <a:spcAft>
                <a:spcPts val="0"/>
              </a:spcAft>
              <a:buClrTx/>
              <a:buSzTx/>
              <a:buFontTx/>
              <a:buNone/>
              <a:tabLst/>
              <a:defRPr sz="1400">
                <a:solidFill>
                  <a:sysClr val="windowText" lastClr="000000">
                    <a:lumMod val="65000"/>
                    <a:lumOff val="35000"/>
                  </a:sysClr>
                </a:solidFill>
              </a:defRPr>
            </a:pPr>
            <a:endParaRPr lang="en-US" sz="1400"/>
          </a:p>
        </c:rich>
      </c:tx>
      <c:layout>
        <c:manualLayout>
          <c:xMode val="edge"/>
          <c:yMode val="edge"/>
          <c:x val="0.19124987308466432"/>
          <c:y val="1.292596208974090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a:sp3d/>
        </c:spPr>
        <c:dLbl>
          <c:idx val="0"/>
          <c:layout>
            <c:manualLayout>
              <c:x val="-1.9344102208980998E-17"/>
              <c:y val="-0.104980855976288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a:sp3d/>
        </c:spPr>
        <c:dLbl>
          <c:idx val="0"/>
          <c:layout>
            <c:manualLayout>
              <c:x val="0"/>
              <c:y val="-5.24904279881442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a:sp3d/>
        </c:spPr>
        <c:dLbl>
          <c:idx val="0"/>
          <c:layout>
            <c:manualLayout>
              <c:x val="0"/>
              <c:y val="-7.873564198221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10000"/>
            </a:schemeClr>
          </a:solidFill>
          <a:ln>
            <a:noFill/>
          </a:ln>
          <a:effectLst/>
          <a:sp3d/>
        </c:spPr>
        <c:dLbl>
          <c:idx val="0"/>
          <c:layout>
            <c:manualLayout>
              <c:x val="-4.2205801469891811E-3"/>
              <c:y val="-0.124664766471842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90000"/>
            </a:schemeClr>
          </a:solidFill>
          <a:ln>
            <a:noFill/>
          </a:ln>
          <a:effectLst/>
          <a:sp3d/>
        </c:spPr>
        <c:dLbl>
          <c:idx val="0"/>
          <c:layout>
            <c:manualLayout>
              <c:x val="2.1102900734945827E-2"/>
              <c:y val="-3.2806517492590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'Porsche Pivot Analysis'!$B$66</c:f>
              <c:strCache>
                <c:ptCount val="1"/>
                <c:pt idx="0">
                  <c:v>Total</c:v>
                </c:pt>
              </c:strCache>
            </c:strRef>
          </c:tx>
          <c:invertIfNegative val="0"/>
          <c:dPt>
            <c:idx val="0"/>
            <c:invertIfNegative val="0"/>
            <c:bubble3D val="0"/>
            <c:spPr>
              <a:solidFill>
                <a:schemeClr val="bg2">
                  <a:lumMod val="25000"/>
                </a:schemeClr>
              </a:solidFill>
              <a:ln>
                <a:noFill/>
              </a:ln>
              <a:effectLst/>
              <a:sp3d/>
            </c:spPr>
            <c:extLst>
              <c:ext xmlns:c16="http://schemas.microsoft.com/office/drawing/2014/chart" uri="{C3380CC4-5D6E-409C-BE32-E72D297353CC}">
                <c16:uniqueId val="{00000001-4C04-4C65-889E-2E07E946E637}"/>
              </c:ext>
            </c:extLst>
          </c:dPt>
          <c:dPt>
            <c:idx val="1"/>
            <c:invertIfNegative val="0"/>
            <c:bubble3D val="0"/>
            <c:spPr>
              <a:solidFill>
                <a:schemeClr val="bg2">
                  <a:lumMod val="75000"/>
                </a:schemeClr>
              </a:solidFill>
              <a:ln>
                <a:noFill/>
              </a:ln>
              <a:effectLst/>
              <a:sp3d/>
            </c:spPr>
            <c:extLst>
              <c:ext xmlns:c16="http://schemas.microsoft.com/office/drawing/2014/chart" uri="{C3380CC4-5D6E-409C-BE32-E72D297353CC}">
                <c16:uniqueId val="{00000002-4C04-4C65-889E-2E07E946E637}"/>
              </c:ext>
            </c:extLst>
          </c:dPt>
          <c:dPt>
            <c:idx val="2"/>
            <c:invertIfNegative val="0"/>
            <c:bubble3D val="0"/>
            <c:spPr>
              <a:solidFill>
                <a:schemeClr val="bg2">
                  <a:lumMod val="50000"/>
                </a:schemeClr>
              </a:solidFill>
              <a:ln>
                <a:noFill/>
              </a:ln>
              <a:effectLst/>
              <a:sp3d/>
            </c:spPr>
            <c:extLst>
              <c:ext xmlns:c16="http://schemas.microsoft.com/office/drawing/2014/chart" uri="{C3380CC4-5D6E-409C-BE32-E72D297353CC}">
                <c16:uniqueId val="{00000003-4C04-4C65-889E-2E07E946E637}"/>
              </c:ext>
            </c:extLst>
          </c:dPt>
          <c:dPt>
            <c:idx val="3"/>
            <c:invertIfNegative val="0"/>
            <c:bubble3D val="0"/>
            <c:spPr>
              <a:solidFill>
                <a:schemeClr val="bg2">
                  <a:lumMod val="10000"/>
                </a:schemeClr>
              </a:solidFill>
              <a:ln>
                <a:noFill/>
              </a:ln>
              <a:effectLst/>
              <a:sp3d/>
            </c:spPr>
            <c:extLst>
              <c:ext xmlns:c16="http://schemas.microsoft.com/office/drawing/2014/chart" uri="{C3380CC4-5D6E-409C-BE32-E72D297353CC}">
                <c16:uniqueId val="{00000004-4C04-4C65-889E-2E07E946E637}"/>
              </c:ext>
            </c:extLst>
          </c:dPt>
          <c:dPt>
            <c:idx val="4"/>
            <c:invertIfNegative val="0"/>
            <c:bubble3D val="0"/>
            <c:spPr>
              <a:solidFill>
                <a:schemeClr val="bg2">
                  <a:lumMod val="90000"/>
                </a:schemeClr>
              </a:solidFill>
              <a:ln>
                <a:noFill/>
              </a:ln>
              <a:effectLst/>
              <a:sp3d/>
            </c:spPr>
            <c:extLst>
              <c:ext xmlns:c16="http://schemas.microsoft.com/office/drawing/2014/chart" uri="{C3380CC4-5D6E-409C-BE32-E72D297353CC}">
                <c16:uniqueId val="{00000005-4C04-4C65-889E-2E07E946E637}"/>
              </c:ext>
            </c:extLst>
          </c:dPt>
          <c:dLbls>
            <c:dLbl>
              <c:idx val="0"/>
              <c:layout>
                <c:manualLayout>
                  <c:x val="-1.9344102208980998E-17"/>
                  <c:y val="-0.104980855976288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04-4C65-889E-2E07E946E637}"/>
                </c:ext>
              </c:extLst>
            </c:dLbl>
            <c:dLbl>
              <c:idx val="1"/>
              <c:layout>
                <c:manualLayout>
                  <c:x val="0"/>
                  <c:y val="-5.24904279881442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04-4C65-889E-2E07E946E637}"/>
                </c:ext>
              </c:extLst>
            </c:dLbl>
            <c:dLbl>
              <c:idx val="2"/>
              <c:layout>
                <c:manualLayout>
                  <c:x val="0"/>
                  <c:y val="-7.873564198221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04-4C65-889E-2E07E946E637}"/>
                </c:ext>
              </c:extLst>
            </c:dLbl>
            <c:dLbl>
              <c:idx val="3"/>
              <c:layout>
                <c:manualLayout>
                  <c:x val="-4.2205801469891811E-3"/>
                  <c:y val="-0.124664766471842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04-4C65-889E-2E07E946E637}"/>
                </c:ext>
              </c:extLst>
            </c:dLbl>
            <c:dLbl>
              <c:idx val="4"/>
              <c:layout>
                <c:manualLayout>
                  <c:x val="2.1102900734945827E-2"/>
                  <c:y val="-3.28065174925901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04-4C65-889E-2E07E946E6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'Porsche Pivot Analysis'!$A$67:$A$72</c:f>
              <c:strCache>
                <c:ptCount val="5"/>
                <c:pt idx="0">
                  <c:v>911 Carrera</c:v>
                </c:pt>
                <c:pt idx="1">
                  <c:v>Cayenne</c:v>
                </c:pt>
                <c:pt idx="2">
                  <c:v>Macan</c:v>
                </c:pt>
                <c:pt idx="3">
                  <c:v>Panamera</c:v>
                </c:pt>
                <c:pt idx="4">
                  <c:v>Taycan</c:v>
                </c:pt>
              </c:strCache>
            </c:strRef>
          </c:cat>
          <c:val>
            <c:numRef>
              <c:f>'Porsche Pivot Analysis'!$B$67:$B$72</c:f>
              <c:numCache>
                <c:formatCode>General</c:formatCode>
                <c:ptCount val="5"/>
                <c:pt idx="0">
                  <c:v>636854400</c:v>
                </c:pt>
                <c:pt idx="1">
                  <c:v>539082000</c:v>
                </c:pt>
                <c:pt idx="2">
                  <c:v>270329400</c:v>
                </c:pt>
                <c:pt idx="3">
                  <c:v>586656000</c:v>
                </c:pt>
                <c:pt idx="4">
                  <c:v>590427000</c:v>
                </c:pt>
              </c:numCache>
            </c:numRef>
          </c:val>
          <c:extLst>
            <c:ext xmlns:c16="http://schemas.microsoft.com/office/drawing/2014/chart" uri="{C3380CC4-5D6E-409C-BE32-E72D297353CC}">
              <c16:uniqueId val="{00000000-4C04-4C65-889E-2E07E946E637}"/>
            </c:ext>
          </c:extLst>
        </c:ser>
        <c:dLbls>
          <c:showLegendKey val="0"/>
          <c:showVal val="1"/>
          <c:showCatName val="0"/>
          <c:showSerName val="0"/>
          <c:showPercent val="0"/>
          <c:showBubbleSize val="0"/>
        </c:dLbls>
        <c:gapWidth val="150"/>
        <c:shape val="box"/>
        <c:axId val="1579794624"/>
        <c:axId val="1579796064"/>
        <c:axId val="0"/>
      </c:bar3DChart>
      <c:catAx>
        <c:axId val="1579794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9796064"/>
        <c:crosses val="autoZero"/>
        <c:auto val="1"/>
        <c:lblAlgn val="ctr"/>
        <c:lblOffset val="100"/>
        <c:noMultiLvlLbl val="0"/>
      </c:catAx>
      <c:valAx>
        <c:axId val="1579796064"/>
        <c:scaling>
          <c:orientation val="minMax"/>
        </c:scaling>
        <c:delete val="1"/>
        <c:axPos val="l"/>
        <c:numFmt formatCode="General" sourceLinked="1"/>
        <c:majorTickMark val="none"/>
        <c:minorTickMark val="none"/>
        <c:tickLblPos val="nextTo"/>
        <c:crossAx val="157979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IN" sz="1100" b="1">
                <a:latin typeface="Times New Roman" panose="02020603050405020304" pitchFamily="18" charset="0"/>
                <a:cs typeface="Times New Roman" panose="02020603050405020304" pitchFamily="18" charset="0"/>
              </a:rPr>
              <a:t>Monthly Revenue Trend Analysis</a:t>
            </a:r>
            <a:endParaRPr lang="en-US" sz="11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rich>
      </cx:tx>
    </cx:title>
    <cx:plotArea>
      <cx:plotAreaRegion>
        <cx:series layoutId="treemap" uniqueId="{FB9D4D97-9E13-4F73-AA22-E2F35095C956}">
          <cx:tx>
            <cx:txData>
              <cx:f>_xlchart.v1.1</cx:f>
              <cx:v>Sum of Revenue</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_xlchart.v1.4</cx:f>
      </cx:numDim>
    </cx:data>
    <cx:data id="1">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IN" sz="1100" b="1">
                <a:latin typeface="Times New Roman" panose="02020603050405020304" pitchFamily="18" charset="0"/>
                <a:cs typeface="Times New Roman" panose="02020603050405020304" pitchFamily="18" charset="0"/>
              </a:rPr>
              <a:t>Revenue vs Profit Comparison by Model</a:t>
            </a:r>
            <a:endParaRPr lang="en-US" sz="11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rich>
      </cx:tx>
    </cx:title>
    <cx:plotArea>
      <cx:plotAreaRegion>
        <cx:series layoutId="clusteredColumn" uniqueId="{DB28F39B-7DAD-470D-B66B-833BB0D5D0F5}" formatIdx="0">
          <cx:dataId val="0"/>
          <cx:layoutPr>
            <cx:aggregation/>
          </cx:layoutPr>
          <cx:axisId val="1"/>
        </cx:series>
        <cx:series layoutId="paretoLine" ownerIdx="0" uniqueId="{3D2159F9-850D-4D3F-97BA-233BBFF54413}" formatIdx="1">
          <cx:axisId val="2"/>
        </cx:series>
        <cx:series layoutId="clusteredColumn" hidden="1" uniqueId="{0950141A-057C-40D2-8EE4-1BC018FC3466}" formatIdx="2">
          <cx:dataId val="1"/>
          <cx:layoutPr>
            <cx:aggregation/>
          </cx:layoutPr>
          <cx:axisId val="1"/>
        </cx:series>
        <cx:series layoutId="paretoLine" ownerIdx="2" uniqueId="{1219B95A-5019-4802-B01F-94873B9D5880}" formatIdx="3">
          <cx:axisId val="2"/>
        </cx:series>
      </cx:plotAreaRegion>
      <cx:axis id="0">
        <cx:catScaling gapWidth="0"/>
        <cx:tickLabels/>
      </cx:axis>
      <cx:axis id="1" hidden="1">
        <cx:valScaling/>
        <cx:tickLabels/>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data id="1">
      <cx:strDim type="cat">
        <cx:f>_xlchart.v1.6</cx:f>
      </cx:strDim>
      <cx:numDim type="val">
        <cx:f>_xlchart.v1.8</cx:f>
      </cx:numDim>
    </cx:data>
  </cx:chartData>
  <cx:chart>
    <cx:title pos="t" align="ctr" overlay="0">
      <cx:tx>
        <cx:rich>
          <a:bodyPr spcFirstLastPara="1" vertOverflow="ellipsis" horzOverflow="overflow" wrap="square" lIns="0" tIns="0" rIns="0" bIns="0" anchor="ctr" anchorCtr="1"/>
          <a:lstStyle/>
          <a:p>
            <a:pPr algn="ctr" rtl="0">
              <a:defRPr sz="1400"/>
            </a:pPr>
            <a:r>
              <a:rPr lang="en-IN" sz="1400" b="1">
                <a:solidFill>
                  <a:srgbClr val="680000"/>
                </a:solidFill>
                <a:latin typeface="Times New Roman" panose="02020603050405020304" pitchFamily="18" charset="0"/>
                <a:cs typeface="Times New Roman" panose="02020603050405020304" pitchFamily="18" charset="0"/>
              </a:rPr>
              <a:t>Revenue vs Profit Comparison by Model</a:t>
            </a:r>
            <a:endParaRPr lang="en-US" sz="1400" b="1" i="0" u="none" strike="noStrike" baseline="0">
              <a:solidFill>
                <a:srgbClr val="680000"/>
              </a:solidFill>
              <a:latin typeface="Times New Roman" panose="02020603050405020304" pitchFamily="18" charset="0"/>
              <a:cs typeface="Times New Roman" panose="02020603050405020304" pitchFamily="18" charset="0"/>
            </a:endParaRPr>
          </a:p>
        </cx:rich>
      </cx:tx>
    </cx:title>
    <cx:plotArea>
      <cx:plotAreaRegion>
        <cx:plotSurface>
          <cx:spPr>
            <a:noFill/>
          </cx:spPr>
        </cx:plotSurface>
        <cx:series layoutId="clusteredColumn" uniqueId="{DB28F39B-7DAD-470D-B66B-833BB0D5D0F5}" formatIdx="0">
          <cx:dataPt idx="0">
            <cx:spPr>
              <a:solidFill>
                <a:srgbClr val="EEECE1">
                  <a:lumMod val="10000"/>
                </a:srgbClr>
              </a:solidFill>
            </cx:spPr>
          </cx:dataPt>
          <cx:dataPt idx="1">
            <cx:spPr>
              <a:solidFill>
                <a:srgbClr val="EEECE1">
                  <a:lumMod val="25000"/>
                </a:srgbClr>
              </a:solidFill>
            </cx:spPr>
          </cx:dataPt>
          <cx:dataPt idx="2">
            <cx:spPr>
              <a:solidFill>
                <a:srgbClr val="EEECE1">
                  <a:lumMod val="50000"/>
                </a:srgbClr>
              </a:solidFill>
            </cx:spPr>
          </cx:dataPt>
          <cx:dataPt idx="3">
            <cx:spPr>
              <a:solidFill>
                <a:srgbClr val="EEECE1">
                  <a:lumMod val="50000"/>
                </a:srgbClr>
              </a:solidFill>
            </cx:spPr>
          </cx:dataPt>
          <cx:dataPt idx="4">
            <cx:spPr>
              <a:solidFill>
                <a:srgbClr val="EEECE1">
                  <a:lumMod val="50000"/>
                </a:srgbClr>
              </a:solidFill>
            </cx:spPr>
          </cx:dataPt>
          <cx:dataPt idx="5">
            <cx:spPr>
              <a:solidFill>
                <a:srgbClr val="EEECE1">
                  <a:lumMod val="75000"/>
                </a:srgbClr>
              </a:solidFill>
            </cx:spPr>
          </cx:dataPt>
          <cx:dataId val="0"/>
          <cx:layoutPr>
            <cx:aggregation/>
          </cx:layoutPr>
          <cx:axisId val="1"/>
        </cx:series>
        <cx:series layoutId="paretoLine" ownerIdx="0" uniqueId="{3D2159F9-850D-4D3F-97BA-233BBFF54413}" formatIdx="1">
          <cx:spPr>
            <a:ln w="25400" cap="rnd">
              <a:solidFill>
                <a:schemeClr val="bg2">
                  <a:lumMod val="25000"/>
                </a:schemeClr>
              </a:solidFill>
              <a:prstDash val="sysDot"/>
            </a:ln>
          </cx:spPr>
          <cx:axisId val="2"/>
        </cx:series>
        <cx:series layoutId="clusteredColumn" hidden="1" uniqueId="{0950141A-057C-40D2-8EE4-1BC018FC3466}" formatIdx="2">
          <cx:dataId val="1"/>
          <cx:layoutPr>
            <cx:aggregation/>
          </cx:layoutPr>
          <cx:axisId val="1"/>
        </cx:series>
        <cx:series layoutId="paretoLine" ownerIdx="2" uniqueId="{1219B95A-5019-4802-B01F-94873B9D5880}" formatIdx="3">
          <cx:axisId val="2"/>
        </cx:series>
      </cx:plotAreaRegion>
      <cx:axis id="0">
        <cx:catScaling gapWidth="1.86000001"/>
        <cx:tickLabels/>
        <cx:txPr>
          <a:bodyPr spcFirstLastPara="1" vertOverflow="ellipsis" horzOverflow="overflow" wrap="square" lIns="0" tIns="0" rIns="0" bIns="0" anchor="ctr" anchorCtr="1"/>
          <a:lstStyle/>
          <a:p>
            <a:pPr algn="ctr" rtl="0">
              <a:defRPr sz="700" b="1">
                <a:latin typeface="Times New Roman" panose="02020603050405020304" pitchFamily="18" charset="0"/>
                <a:ea typeface="Times New Roman" panose="02020603050405020304" pitchFamily="18" charset="0"/>
                <a:cs typeface="Times New Roman" panose="02020603050405020304" pitchFamily="18" charset="0"/>
              </a:defRPr>
            </a:pPr>
            <a:endParaRPr lang="en-US" sz="7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txPr>
      </cx:axis>
      <cx:axis id="1" hidden="1">
        <cx:valScaling/>
        <cx:tickLabels/>
      </cx:axis>
      <cx:axis id="2">
        <cx:valScaling max="1" min="0"/>
        <cx:units unit="percentage"/>
        <cx:tickLabels/>
        <cx:txPr>
          <a:bodyPr spcFirstLastPara="1" vertOverflow="ellipsis" horzOverflow="overflow" wrap="square" lIns="0" tIns="0" rIns="0" bIns="0" anchor="ctr" anchorCtr="1"/>
          <a:lstStyle/>
          <a:p>
            <a:pPr algn="ctr" rtl="0">
              <a:defRPr>
                <a:latin typeface="Times New Roman" panose="02020603050405020304" pitchFamily="18" charset="0"/>
                <a:ea typeface="Times New Roman" panose="02020603050405020304" pitchFamily="18" charset="0"/>
                <a:cs typeface="Times New Roman" panose="02020603050405020304" pitchFamily="18" charset="0"/>
              </a:defRPr>
            </a:pPr>
            <a:endParaRPr lang="en-US" sz="9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txPr>
      </cx:axis>
    </cx:plotArea>
  </cx:chart>
  <cx:spPr>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openxmlformats.org/officeDocument/2006/relationships/chart" Target="../charts/chart3.xml"/><Relationship Id="rId7" Type="http://schemas.microsoft.com/office/2014/relationships/chartEx" Target="../charts/chartEx2.xml"/><Relationship Id="rId12" Type="http://schemas.openxmlformats.org/officeDocument/2006/relationships/chart" Target="../charts/chart10.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9.xml"/><Relationship Id="rId5" Type="http://schemas.microsoft.com/office/2014/relationships/chartEx" Target="../charts/chartEx1.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2.png"/><Relationship Id="rId18" Type="http://schemas.openxmlformats.org/officeDocument/2006/relationships/image" Target="../media/image7.sv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0.xml"/><Relationship Id="rId17" Type="http://schemas.openxmlformats.org/officeDocument/2006/relationships/image" Target="../media/image6.png"/><Relationship Id="rId2" Type="http://schemas.microsoft.com/office/2007/relationships/hdphoto" Target="../media/hdphoto1.wdp"/><Relationship Id="rId16" Type="http://schemas.openxmlformats.org/officeDocument/2006/relationships/image" Target="../media/image5.svg"/><Relationship Id="rId20" Type="http://schemas.openxmlformats.org/officeDocument/2006/relationships/chart" Target="../charts/chart22.xml"/><Relationship Id="rId1" Type="http://schemas.openxmlformats.org/officeDocument/2006/relationships/image" Target="../media/image1.png"/><Relationship Id="rId6" Type="http://schemas.openxmlformats.org/officeDocument/2006/relationships/chart" Target="../charts/chart15.xml"/><Relationship Id="rId11" Type="http://schemas.openxmlformats.org/officeDocument/2006/relationships/chart" Target="../charts/chart19.xml"/><Relationship Id="rId5" Type="http://schemas.openxmlformats.org/officeDocument/2006/relationships/chart" Target="../charts/chart14.xml"/><Relationship Id="rId15" Type="http://schemas.openxmlformats.org/officeDocument/2006/relationships/image" Target="../media/image4.png"/><Relationship Id="rId10" Type="http://schemas.openxmlformats.org/officeDocument/2006/relationships/chart" Target="../charts/chart18.xml"/><Relationship Id="rId19" Type="http://schemas.openxmlformats.org/officeDocument/2006/relationships/chart" Target="../charts/chart21.xml"/><Relationship Id="rId4" Type="http://schemas.openxmlformats.org/officeDocument/2006/relationships/chart" Target="../charts/chart13.xml"/><Relationship Id="rId9" Type="http://schemas.microsoft.com/office/2014/relationships/chartEx" Target="../charts/chartEx3.xml"/><Relationship Id="rId1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2</xdr:col>
      <xdr:colOff>68580</xdr:colOff>
      <xdr:row>2</xdr:row>
      <xdr:rowOff>83820</xdr:rowOff>
    </xdr:from>
    <xdr:to>
      <xdr:col>5</xdr:col>
      <xdr:colOff>289560</xdr:colOff>
      <xdr:row>8</xdr:row>
      <xdr:rowOff>137160</xdr:rowOff>
    </xdr:to>
    <xdr:graphicFrame macro="">
      <xdr:nvGraphicFramePr>
        <xdr:cNvPr id="3" name="Chart 2">
          <a:extLst>
            <a:ext uri="{FF2B5EF4-FFF2-40B4-BE49-F238E27FC236}">
              <a16:creationId xmlns:a16="http://schemas.microsoft.com/office/drawing/2014/main" id="{D80DB949-898E-22C9-19DB-F0CB0487C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10</xdr:row>
      <xdr:rowOff>22860</xdr:rowOff>
    </xdr:from>
    <xdr:to>
      <xdr:col>5</xdr:col>
      <xdr:colOff>693420</xdr:colOff>
      <xdr:row>17</xdr:row>
      <xdr:rowOff>15240</xdr:rowOff>
    </xdr:to>
    <xdr:graphicFrame macro="">
      <xdr:nvGraphicFramePr>
        <xdr:cNvPr id="4" name="Chart 3">
          <a:extLst>
            <a:ext uri="{FF2B5EF4-FFF2-40B4-BE49-F238E27FC236}">
              <a16:creationId xmlns:a16="http://schemas.microsoft.com/office/drawing/2014/main" id="{D7709822-2B18-CB62-78F2-002E12F30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144780</xdr:colOff>
      <xdr:row>18</xdr:row>
      <xdr:rowOff>76200</xdr:rowOff>
    </xdr:from>
    <xdr:to>
      <xdr:col>4</xdr:col>
      <xdr:colOff>609600</xdr:colOff>
      <xdr:row>24</xdr:row>
      <xdr:rowOff>144780</xdr:rowOff>
    </xdr:to>
    <xdr:graphicFrame macro="">
      <xdr:nvGraphicFramePr>
        <xdr:cNvPr id="5" name="Chart 4">
          <a:extLst>
            <a:ext uri="{FF2B5EF4-FFF2-40B4-BE49-F238E27FC236}">
              <a16:creationId xmlns:a16="http://schemas.microsoft.com/office/drawing/2014/main" id="{BC7AE885-9883-8E6C-056F-8F1B60A14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144780</xdr:colOff>
      <xdr:row>25</xdr:row>
      <xdr:rowOff>144780</xdr:rowOff>
    </xdr:from>
    <xdr:to>
      <xdr:col>6</xdr:col>
      <xdr:colOff>15240</xdr:colOff>
      <xdr:row>33</xdr:row>
      <xdr:rowOff>38100</xdr:rowOff>
    </xdr:to>
    <xdr:graphicFrame macro="">
      <xdr:nvGraphicFramePr>
        <xdr:cNvPr id="6" name="Chart 5">
          <a:extLst>
            <a:ext uri="{FF2B5EF4-FFF2-40B4-BE49-F238E27FC236}">
              <a16:creationId xmlns:a16="http://schemas.microsoft.com/office/drawing/2014/main" id="{964B7788-7F9C-1BF5-223D-DA70D3A5C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144780</xdr:colOff>
      <xdr:row>33</xdr:row>
      <xdr:rowOff>171450</xdr:rowOff>
    </xdr:from>
    <xdr:to>
      <xdr:col>6</xdr:col>
      <xdr:colOff>754380</xdr:colOff>
      <xdr:row>48</xdr:row>
      <xdr:rowOff>129540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CE026A3B-03A6-ABFB-09E5-B7795E7D69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103120" y="6206490"/>
              <a:ext cx="3627120" cy="27012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289560</xdr:colOff>
      <xdr:row>56</xdr:row>
      <xdr:rowOff>26670</xdr:rowOff>
    </xdr:from>
    <xdr:to>
      <xdr:col>5</xdr:col>
      <xdr:colOff>464820</xdr:colOff>
      <xdr:row>63</xdr:row>
      <xdr:rowOff>129540</xdr:rowOff>
    </xdr:to>
    <xdr:graphicFrame macro="">
      <xdr:nvGraphicFramePr>
        <xdr:cNvPr id="10" name="Chart 9">
          <a:extLst>
            <a:ext uri="{FF2B5EF4-FFF2-40B4-BE49-F238E27FC236}">
              <a16:creationId xmlns:a16="http://schemas.microsoft.com/office/drawing/2014/main" id="{02BA6B24-85C2-6351-4D14-674ADF74B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114300</xdr:colOff>
      <xdr:row>72</xdr:row>
      <xdr:rowOff>34290</xdr:rowOff>
    </xdr:from>
    <xdr:to>
      <xdr:col>6</xdr:col>
      <xdr:colOff>1143000</xdr:colOff>
      <xdr:row>80</xdr:row>
      <xdr:rowOff>167640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5CF73BD5-3720-9230-9057-E58F89E0F7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827020" y="13201650"/>
              <a:ext cx="3291840" cy="15963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198120</xdr:colOff>
      <xdr:row>80</xdr:row>
      <xdr:rowOff>30480</xdr:rowOff>
    </xdr:from>
    <xdr:to>
      <xdr:col>11</xdr:col>
      <xdr:colOff>441960</xdr:colOff>
      <xdr:row>88</xdr:row>
      <xdr:rowOff>91440</xdr:rowOff>
    </xdr:to>
    <xdr:graphicFrame macro="">
      <xdr:nvGraphicFramePr>
        <xdr:cNvPr id="16" name="Chart 15">
          <a:extLst>
            <a:ext uri="{FF2B5EF4-FFF2-40B4-BE49-F238E27FC236}">
              <a16:creationId xmlns:a16="http://schemas.microsoft.com/office/drawing/2014/main" id="{C61E52BC-5D9C-0CD3-3195-EFFBAEEC0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297180</xdr:colOff>
      <xdr:row>89</xdr:row>
      <xdr:rowOff>80010</xdr:rowOff>
    </xdr:from>
    <xdr:to>
      <xdr:col>5</xdr:col>
      <xdr:colOff>701040</xdr:colOff>
      <xdr:row>98</xdr:row>
      <xdr:rowOff>160020</xdr:rowOff>
    </xdr:to>
    <xdr:graphicFrame macro="">
      <xdr:nvGraphicFramePr>
        <xdr:cNvPr id="18" name="Chart 17">
          <a:extLst>
            <a:ext uri="{FF2B5EF4-FFF2-40B4-BE49-F238E27FC236}">
              <a16:creationId xmlns:a16="http://schemas.microsoft.com/office/drawing/2014/main" id="{049A11D4-B03D-A0DC-D3E2-1995CC7F00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1036320</xdr:colOff>
      <xdr:row>7</xdr:row>
      <xdr:rowOff>83820</xdr:rowOff>
    </xdr:from>
    <xdr:to>
      <xdr:col>11</xdr:col>
      <xdr:colOff>0</xdr:colOff>
      <xdr:row>20</xdr:row>
      <xdr:rowOff>173355</xdr:rowOff>
    </xdr:to>
    <mc:AlternateContent xmlns:mc="http://schemas.openxmlformats.org/markup-compatibility/2006" xmlns:a14="http://schemas.microsoft.com/office/drawing/2010/main">
      <mc:Choice Requires="a14">
        <xdr:graphicFrame macro="">
          <xdr:nvGraphicFramePr>
            <xdr:cNvPr id="51" name="Model">
              <a:extLst>
                <a:ext uri="{FF2B5EF4-FFF2-40B4-BE49-F238E27FC236}">
                  <a16:creationId xmlns:a16="http://schemas.microsoft.com/office/drawing/2014/main" id="{9421A9EB-3508-3590-7846-BE1D97ABA071}"/>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7246620" y="1363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579120</xdr:colOff>
      <xdr:row>0</xdr:row>
      <xdr:rowOff>129540</xdr:rowOff>
    </xdr:from>
    <xdr:to>
      <xdr:col>13</xdr:col>
      <xdr:colOff>579120</xdr:colOff>
      <xdr:row>14</xdr:row>
      <xdr:rowOff>36195</xdr:rowOff>
    </xdr:to>
    <mc:AlternateContent xmlns:mc="http://schemas.openxmlformats.org/markup-compatibility/2006" xmlns:a14="http://schemas.microsoft.com/office/drawing/2010/main">
      <mc:Choice Requires="a14">
        <xdr:graphicFrame macro="">
          <xdr:nvGraphicFramePr>
            <xdr:cNvPr id="52" name="Region">
              <a:extLst>
                <a:ext uri="{FF2B5EF4-FFF2-40B4-BE49-F238E27FC236}">
                  <a16:creationId xmlns:a16="http://schemas.microsoft.com/office/drawing/2014/main" id="{9B6A2072-CE15-3727-6733-00BA127F44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51520" y="12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1356360</xdr:colOff>
      <xdr:row>21</xdr:row>
      <xdr:rowOff>160020</xdr:rowOff>
    </xdr:from>
    <xdr:to>
      <xdr:col>9</xdr:col>
      <xdr:colOff>304800</xdr:colOff>
      <xdr:row>35</xdr:row>
      <xdr:rowOff>66675</xdr:rowOff>
    </xdr:to>
    <mc:AlternateContent xmlns:mc="http://schemas.openxmlformats.org/markup-compatibility/2006" xmlns:a14="http://schemas.microsoft.com/office/drawing/2010/main">
      <mc:Choice Requires="a14">
        <xdr:graphicFrame macro="">
          <xdr:nvGraphicFramePr>
            <xdr:cNvPr id="53" name="Units Sold">
              <a:extLst>
                <a:ext uri="{FF2B5EF4-FFF2-40B4-BE49-F238E27FC236}">
                  <a16:creationId xmlns:a16="http://schemas.microsoft.com/office/drawing/2014/main" id="{D5133AD6-147C-89B6-E743-0840FDB05DC4}"/>
                </a:ext>
              </a:extLst>
            </xdr:cNvPr>
            <xdr:cNvGraphicFramePr/>
          </xdr:nvGraphicFramePr>
          <xdr:xfrm>
            <a:off x="0" y="0"/>
            <a:ext cx="0" cy="0"/>
          </xdr:xfrm>
          <a:graphic>
            <a:graphicData uri="http://schemas.microsoft.com/office/drawing/2010/slicer">
              <sle:slicer xmlns:sle="http://schemas.microsoft.com/office/drawing/2010/slicer" name="Units Sold"/>
            </a:graphicData>
          </a:graphic>
        </xdr:graphicFrame>
      </mc:Choice>
      <mc:Fallback xmlns="">
        <xdr:sp macro="" textlink="">
          <xdr:nvSpPr>
            <xdr:cNvPr id="0" name=""/>
            <xdr:cNvSpPr>
              <a:spLocks noTextEdit="1"/>
            </xdr:cNvSpPr>
          </xdr:nvSpPr>
          <xdr:spPr>
            <a:xfrm>
              <a:off x="6332220" y="400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60960</xdr:colOff>
      <xdr:row>11</xdr:row>
      <xdr:rowOff>7620</xdr:rowOff>
    </xdr:from>
    <xdr:to>
      <xdr:col>18</xdr:col>
      <xdr:colOff>60960</xdr:colOff>
      <xdr:row>24</xdr:row>
      <xdr:rowOff>97155</xdr:rowOff>
    </xdr:to>
    <mc:AlternateContent xmlns:mc="http://schemas.openxmlformats.org/markup-compatibility/2006" xmlns:a14="http://schemas.microsoft.com/office/drawing/2010/main">
      <mc:Choice Requires="a14">
        <xdr:graphicFrame macro="">
          <xdr:nvGraphicFramePr>
            <xdr:cNvPr id="54" name="Cost">
              <a:extLst>
                <a:ext uri="{FF2B5EF4-FFF2-40B4-BE49-F238E27FC236}">
                  <a16:creationId xmlns:a16="http://schemas.microsoft.com/office/drawing/2014/main" id="{5FCD2C2D-38C4-99B9-070B-230B6DFA1954}"/>
                </a:ext>
              </a:extLst>
            </xdr:cNvPr>
            <xdr:cNvGraphicFramePr/>
          </xdr:nvGraphicFramePr>
          <xdr:xfrm>
            <a:off x="0" y="0"/>
            <a:ext cx="0" cy="0"/>
          </xdr:xfrm>
          <a:graphic>
            <a:graphicData uri="http://schemas.microsoft.com/office/drawing/2010/slicer">
              <sle:slicer xmlns:sle="http://schemas.microsoft.com/office/drawing/2010/slicer" name="Cost"/>
            </a:graphicData>
          </a:graphic>
        </xdr:graphicFrame>
      </mc:Choice>
      <mc:Fallback xmlns="">
        <xdr:sp macro="" textlink="">
          <xdr:nvSpPr>
            <xdr:cNvPr id="0" name=""/>
            <xdr:cNvSpPr>
              <a:spLocks noTextEdit="1"/>
            </xdr:cNvSpPr>
          </xdr:nvSpPr>
          <xdr:spPr>
            <a:xfrm>
              <a:off x="11574780" y="2019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182880</xdr:colOff>
      <xdr:row>115</xdr:row>
      <xdr:rowOff>68580</xdr:rowOff>
    </xdr:from>
    <xdr:to>
      <xdr:col>7</xdr:col>
      <xdr:colOff>792480</xdr:colOff>
      <xdr:row>130</xdr:row>
      <xdr:rowOff>68580</xdr:rowOff>
    </xdr:to>
    <xdr:graphicFrame macro="">
      <xdr:nvGraphicFramePr>
        <xdr:cNvPr id="56" name="Chart 55">
          <a:extLst>
            <a:ext uri="{FF2B5EF4-FFF2-40B4-BE49-F238E27FC236}">
              <a16:creationId xmlns:a16="http://schemas.microsoft.com/office/drawing/2014/main" id="{2AB4A784-A3AD-A609-65B2-3029C4633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68580</xdr:colOff>
      <xdr:row>49</xdr:row>
      <xdr:rowOff>3810</xdr:rowOff>
    </xdr:from>
    <xdr:to>
      <xdr:col>6</xdr:col>
      <xdr:colOff>678180</xdr:colOff>
      <xdr:row>55</xdr:row>
      <xdr:rowOff>160020</xdr:rowOff>
    </xdr:to>
    <xdr:graphicFrame macro="">
      <xdr:nvGraphicFramePr>
        <xdr:cNvPr id="8" name="Chart 7">
          <a:extLst>
            <a:ext uri="{FF2B5EF4-FFF2-40B4-BE49-F238E27FC236}">
              <a16:creationId xmlns:a16="http://schemas.microsoft.com/office/drawing/2014/main" id="{00A7D987-F2B5-955C-7069-DC971FDD5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541020</xdr:colOff>
      <xdr:row>34</xdr:row>
      <xdr:rowOff>45720</xdr:rowOff>
    </xdr:from>
    <xdr:to>
      <xdr:col>8</xdr:col>
      <xdr:colOff>579120</xdr:colOff>
      <xdr:row>49</xdr:row>
      <xdr:rowOff>45720</xdr:rowOff>
    </xdr:to>
    <xdr:graphicFrame macro="">
      <xdr:nvGraphicFramePr>
        <xdr:cNvPr id="2" name="Chart 1">
          <a:extLst>
            <a:ext uri="{FF2B5EF4-FFF2-40B4-BE49-F238E27FC236}">
              <a16:creationId xmlns:a16="http://schemas.microsoft.com/office/drawing/2014/main" id="{D5F4F3FF-BE81-813E-2CA1-1238829E5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541020</xdr:colOff>
      <xdr:row>62</xdr:row>
      <xdr:rowOff>41910</xdr:rowOff>
    </xdr:from>
    <xdr:to>
      <xdr:col>8</xdr:col>
      <xdr:colOff>579120</xdr:colOff>
      <xdr:row>77</xdr:row>
      <xdr:rowOff>41910</xdr:rowOff>
    </xdr:to>
    <xdr:graphicFrame macro="">
      <xdr:nvGraphicFramePr>
        <xdr:cNvPr id="7" name="Chart 6">
          <a:extLst>
            <a:ext uri="{FF2B5EF4-FFF2-40B4-BE49-F238E27FC236}">
              <a16:creationId xmlns:a16="http://schemas.microsoft.com/office/drawing/2014/main" id="{F86B44D5-5CCA-6F9C-BEC2-1DADE7899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6</xdr:col>
      <xdr:colOff>1325880</xdr:colOff>
      <xdr:row>40</xdr:row>
      <xdr:rowOff>1</xdr:rowOff>
    </xdr:from>
    <xdr:to>
      <xdr:col>9</xdr:col>
      <xdr:colOff>274320</xdr:colOff>
      <xdr:row>46</xdr:row>
      <xdr:rowOff>1</xdr:rowOff>
    </xdr:to>
    <mc:AlternateContent xmlns:mc="http://schemas.openxmlformats.org/markup-compatibility/2006" xmlns:a14="http://schemas.microsoft.com/office/drawing/2010/main">
      <mc:Choice Requires="a14">
        <xdr:graphicFrame macro="">
          <xdr:nvGraphicFramePr>
            <xdr:cNvPr id="12" name="Years (Date)">
              <a:extLst>
                <a:ext uri="{FF2B5EF4-FFF2-40B4-BE49-F238E27FC236}">
                  <a16:creationId xmlns:a16="http://schemas.microsoft.com/office/drawing/2014/main" id="{18103871-43E6-DBB8-0D92-B0E016AF4CE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6301740" y="7315201"/>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43</xdr:row>
      <xdr:rowOff>0</xdr:rowOff>
    </xdr:from>
    <xdr:to>
      <xdr:col>0</xdr:col>
      <xdr:colOff>685800</xdr:colOff>
      <xdr:row>46</xdr:row>
      <xdr:rowOff>0</xdr:rowOff>
    </xdr:to>
    <xdr:sp macro="" textlink="">
      <xdr:nvSpPr>
        <xdr:cNvPr id="1025" name="Text Box 1">
          <a:extLst>
            <a:ext uri="{FF2B5EF4-FFF2-40B4-BE49-F238E27FC236}">
              <a16:creationId xmlns:a16="http://schemas.microsoft.com/office/drawing/2014/main" id="{036593F9-D230-D79F-6FDE-10221ABC5A67}"/>
            </a:ext>
          </a:extLst>
        </xdr:cNvPr>
        <xdr:cNvSpPr txBox="1">
          <a:spLocks noChangeArrowheads="1"/>
        </xdr:cNvSpPr>
      </xdr:nvSpPr>
      <xdr:spPr bwMode="auto">
        <a:xfrm>
          <a:off x="0" y="7863840"/>
          <a:ext cx="685800" cy="54864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Calibri"/>
              <a:ea typeface="Calibri"/>
              <a:cs typeface="Calibri"/>
            </a:rPr>
            <a:t>Add a Year slicer — you have 3 years of data but no way to filter by year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213731</xdr:colOff>
      <xdr:row>0</xdr:row>
      <xdr:rowOff>155812</xdr:rowOff>
    </xdr:from>
    <xdr:to>
      <xdr:col>2</xdr:col>
      <xdr:colOff>333659</xdr:colOff>
      <xdr:row>8</xdr:row>
      <xdr:rowOff>7644</xdr:rowOff>
    </xdr:to>
    <xdr:pic>
      <xdr:nvPicPr>
        <xdr:cNvPr id="12" name="Picture 11">
          <a:extLst>
            <a:ext uri="{FF2B5EF4-FFF2-40B4-BE49-F238E27FC236}">
              <a16:creationId xmlns:a16="http://schemas.microsoft.com/office/drawing/2014/main" id="{378C90EF-0E54-CA16-2FD1-B3C6FF8BDAF1}"/>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5263" b="89850" l="7073" r="95610">
                      <a14:foregroundMark x1="48171" y1="5639" x2="48171" y2="5639"/>
                      <a14:foregroundMark x1="59634" y1="37594" x2="59634" y2="37594"/>
                      <a14:foregroundMark x1="7195" y1="78947" x2="7195" y2="78947"/>
                      <a14:foregroundMark x1="42439" y1="48496" x2="42439" y2="48496"/>
                      <a14:foregroundMark x1="20122" y1="80075" x2="20122" y2="80075"/>
                      <a14:foregroundMark x1="33537" y1="80075" x2="33537" y2="80075"/>
                      <a14:foregroundMark x1="47683" y1="78947" x2="47683" y2="78947"/>
                      <a14:foregroundMark x1="60488" y1="78947" x2="60488" y2="78947"/>
                      <a14:foregroundMark x1="73049" y1="79699" x2="73049" y2="79699"/>
                      <a14:foregroundMark x1="86220" y1="79699" x2="86220" y2="79699"/>
                      <a14:foregroundMark x1="95610" y1="78947" x2="95610" y2="78947"/>
                    </a14:backgroundRemoval>
                  </a14:imgEffect>
                </a14:imgLayer>
              </a14:imgProps>
            </a:ext>
          </a:extLst>
        </a:blip>
        <a:srcRect l="25404" t="640" r="28628" b="24552"/>
        <a:stretch>
          <a:fillRect/>
        </a:stretch>
      </xdr:blipFill>
      <xdr:spPr>
        <a:xfrm>
          <a:off x="213731" y="155812"/>
          <a:ext cx="1346562" cy="1338661"/>
        </a:xfrm>
        <a:prstGeom prst="rect">
          <a:avLst/>
        </a:prstGeom>
        <a:effectLst>
          <a:outerShdw blurRad="50800" dist="38100" dir="5400000" algn="t" rotWithShape="0">
            <a:prstClr val="black">
              <a:alpha val="40000"/>
            </a:prstClr>
          </a:outerShdw>
        </a:effectLst>
      </xdr:spPr>
    </xdr:pic>
    <xdr:clientData/>
  </xdr:twoCellAnchor>
  <xdr:twoCellAnchor>
    <xdr:from>
      <xdr:col>2</xdr:col>
      <xdr:colOff>225443</xdr:colOff>
      <xdr:row>0</xdr:row>
      <xdr:rowOff>76652</xdr:rowOff>
    </xdr:from>
    <xdr:to>
      <xdr:col>11</xdr:col>
      <xdr:colOff>269488</xdr:colOff>
      <xdr:row>7</xdr:row>
      <xdr:rowOff>111512</xdr:rowOff>
    </xdr:to>
    <xdr:sp macro="" textlink="">
      <xdr:nvSpPr>
        <xdr:cNvPr id="9" name="Rectangle: Rounded Corners 8">
          <a:extLst>
            <a:ext uri="{FF2B5EF4-FFF2-40B4-BE49-F238E27FC236}">
              <a16:creationId xmlns:a16="http://schemas.microsoft.com/office/drawing/2014/main" id="{348E41D6-23AE-7A76-3592-00AAB4A7CCA7}"/>
            </a:ext>
          </a:extLst>
        </xdr:cNvPr>
        <xdr:cNvSpPr/>
      </xdr:nvSpPr>
      <xdr:spPr>
        <a:xfrm>
          <a:off x="1452077" y="76652"/>
          <a:ext cx="5563899" cy="13358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a:solidFill>
                <a:schemeClr val="tx1"/>
              </a:solidFill>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PORSCHE SALES</a:t>
          </a:r>
          <a:r>
            <a:rPr lang="en-IN" sz="2400" b="1" baseline="0">
              <a:solidFill>
                <a:schemeClr val="tx1"/>
              </a:solidFill>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 DASHBOARD</a:t>
          </a:r>
          <a:r>
            <a:rPr lang="en-IN" sz="2400" b="1">
              <a:solidFill>
                <a:schemeClr val="tx1"/>
              </a:solidFill>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 </a:t>
          </a:r>
        </a:p>
        <a:p>
          <a:pPr algn="l"/>
          <a:r>
            <a:rPr lang="en-IN" sz="2400" b="0">
              <a:solidFill>
                <a:srgbClr val="680000"/>
              </a:solidFill>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(2023</a:t>
          </a:r>
          <a:r>
            <a:rPr lang="en-IN" sz="2400" b="0" baseline="0">
              <a:solidFill>
                <a:srgbClr val="680000"/>
              </a:solidFill>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 - </a:t>
          </a:r>
          <a:r>
            <a:rPr lang="en-IN" sz="2400" b="0">
              <a:solidFill>
                <a:srgbClr val="680000"/>
              </a:solidFill>
              <a:effectLst>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2025)</a:t>
          </a:r>
        </a:p>
      </xdr:txBody>
    </xdr:sp>
    <xdr:clientData/>
  </xdr:twoCellAnchor>
  <xdr:twoCellAnchor>
    <xdr:from>
      <xdr:col>10</xdr:col>
      <xdr:colOff>252549</xdr:colOff>
      <xdr:row>2</xdr:row>
      <xdr:rowOff>56606</xdr:rowOff>
    </xdr:from>
    <xdr:to>
      <xdr:col>12</xdr:col>
      <xdr:colOff>169817</xdr:colOff>
      <xdr:row>3</xdr:row>
      <xdr:rowOff>48228</xdr:rowOff>
    </xdr:to>
    <xdr:sp macro="" textlink="">
      <xdr:nvSpPr>
        <xdr:cNvPr id="33" name="Rectangle 32">
          <a:extLst>
            <a:ext uri="{FF2B5EF4-FFF2-40B4-BE49-F238E27FC236}">
              <a16:creationId xmlns:a16="http://schemas.microsoft.com/office/drawing/2014/main" id="{4B651A4E-9FE5-7B53-A72E-C8F65711225D}"/>
            </a:ext>
          </a:extLst>
        </xdr:cNvPr>
        <xdr:cNvSpPr/>
      </xdr:nvSpPr>
      <xdr:spPr>
        <a:xfrm>
          <a:off x="6329258" y="423138"/>
          <a:ext cx="1277293" cy="1748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173615</xdr:colOff>
      <xdr:row>3</xdr:row>
      <xdr:rowOff>125394</xdr:rowOff>
    </xdr:from>
    <xdr:ext cx="1774790" cy="505267"/>
    <xdr:sp macro="" textlink="">
      <xdr:nvSpPr>
        <xdr:cNvPr id="34" name="TextBox 33">
          <a:extLst>
            <a:ext uri="{FF2B5EF4-FFF2-40B4-BE49-F238E27FC236}">
              <a16:creationId xmlns:a16="http://schemas.microsoft.com/office/drawing/2014/main" id="{73F04A13-6ACF-E216-0FAD-A9F5CABD1026}"/>
            </a:ext>
          </a:extLst>
        </xdr:cNvPr>
        <xdr:cNvSpPr txBox="1"/>
      </xdr:nvSpPr>
      <xdr:spPr>
        <a:xfrm flipH="1">
          <a:off x="6250324" y="675191"/>
          <a:ext cx="177479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solidFill>
                <a:srgbClr val="996600"/>
              </a:solidFill>
              <a:latin typeface="Times New Roman" panose="02020603050405020304" pitchFamily="18" charset="0"/>
              <a:cs typeface="Times New Roman" panose="02020603050405020304" pitchFamily="18" charset="0"/>
            </a:rPr>
            <a:t>TOTAL PROFIT</a:t>
          </a:r>
          <a:br>
            <a:rPr lang="en-IN" sz="1400" b="0">
              <a:solidFill>
                <a:schemeClr val="tx1"/>
              </a:solidFill>
              <a:latin typeface="Times New Roman" panose="02020603050405020304" pitchFamily="18" charset="0"/>
              <a:cs typeface="Times New Roman" panose="02020603050405020304" pitchFamily="18" charset="0"/>
            </a:rPr>
          </a:br>
          <a:endParaRPr lang="en-IN" sz="1400" b="1">
            <a:solidFill>
              <a:srgbClr val="996600"/>
            </a:solidFill>
            <a:latin typeface="Times New Roman" panose="02020603050405020304" pitchFamily="18" charset="0"/>
            <a:cs typeface="Times New Roman" panose="02020603050405020304" pitchFamily="18" charset="0"/>
          </a:endParaRPr>
        </a:p>
      </xdr:txBody>
    </xdr:sp>
    <xdr:clientData/>
  </xdr:oneCellAnchor>
  <xdr:twoCellAnchor>
    <xdr:from>
      <xdr:col>16</xdr:col>
      <xdr:colOff>174762</xdr:colOff>
      <xdr:row>3</xdr:row>
      <xdr:rowOff>102944</xdr:rowOff>
    </xdr:from>
    <xdr:to>
      <xdr:col>18</xdr:col>
      <xdr:colOff>438870</xdr:colOff>
      <xdr:row>5</xdr:row>
      <xdr:rowOff>77165</xdr:rowOff>
    </xdr:to>
    <xdr:sp macro="" textlink="">
      <xdr:nvSpPr>
        <xdr:cNvPr id="36" name="TextBox 35">
          <a:extLst>
            <a:ext uri="{FF2B5EF4-FFF2-40B4-BE49-F238E27FC236}">
              <a16:creationId xmlns:a16="http://schemas.microsoft.com/office/drawing/2014/main" id="{D270E086-BFDC-B964-EEAB-E8FBB0CBC527}"/>
            </a:ext>
          </a:extLst>
        </xdr:cNvPr>
        <xdr:cNvSpPr txBox="1"/>
      </xdr:nvSpPr>
      <xdr:spPr>
        <a:xfrm>
          <a:off x="10485876" y="652741"/>
          <a:ext cx="1479450" cy="340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996600"/>
              </a:solidFill>
              <a:effectLst/>
              <a:latin typeface="Times New Roman" panose="02020603050405020304" pitchFamily="18" charset="0"/>
              <a:ea typeface="+mn-ea"/>
              <a:cs typeface="Times New Roman" panose="02020603050405020304" pitchFamily="18" charset="0"/>
            </a:rPr>
            <a:t>UNIT</a:t>
          </a:r>
          <a:r>
            <a:rPr lang="en-IN" sz="1400" b="1" baseline="0">
              <a:solidFill>
                <a:srgbClr val="996600"/>
              </a:solidFill>
              <a:effectLst/>
              <a:latin typeface="Times New Roman" panose="02020603050405020304" pitchFamily="18" charset="0"/>
              <a:ea typeface="+mn-ea"/>
              <a:cs typeface="Times New Roman" panose="02020603050405020304" pitchFamily="18" charset="0"/>
            </a:rPr>
            <a:t> SOLD</a:t>
          </a:r>
          <a:endParaRPr lang="en-IN" sz="1400">
            <a:solidFill>
              <a:srgbClr val="996600"/>
            </a:solidFill>
            <a:effectLst/>
            <a:latin typeface="Times New Roman" panose="02020603050405020304" pitchFamily="18" charset="0"/>
            <a:cs typeface="Times New Roman" panose="02020603050405020304" pitchFamily="18" charset="0"/>
          </a:endParaRPr>
        </a:p>
      </xdr:txBody>
    </xdr:sp>
    <xdr:clientData/>
  </xdr:twoCellAnchor>
  <xdr:oneCellAnchor>
    <xdr:from>
      <xdr:col>13</xdr:col>
      <xdr:colOff>91678</xdr:colOff>
      <xdr:row>3</xdr:row>
      <xdr:rowOff>142260</xdr:rowOff>
    </xdr:from>
    <xdr:ext cx="2255207" cy="298800"/>
    <xdr:sp macro="" textlink="">
      <xdr:nvSpPr>
        <xdr:cNvPr id="35" name="TextBox 34">
          <a:extLst>
            <a:ext uri="{FF2B5EF4-FFF2-40B4-BE49-F238E27FC236}">
              <a16:creationId xmlns:a16="http://schemas.microsoft.com/office/drawing/2014/main" id="{B3F744B6-1BEC-4AA5-9581-ACE9FF7B06F4}"/>
            </a:ext>
          </a:extLst>
        </xdr:cNvPr>
        <xdr:cNvSpPr txBox="1"/>
      </xdr:nvSpPr>
      <xdr:spPr>
        <a:xfrm>
          <a:off x="8136083" y="692057"/>
          <a:ext cx="225520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solidFill>
                <a:srgbClr val="996600"/>
              </a:solidFill>
              <a:latin typeface="Times New Roman" panose="02020603050405020304" pitchFamily="18" charset="0"/>
              <a:cs typeface="Times New Roman" panose="02020603050405020304" pitchFamily="18" charset="0"/>
            </a:rPr>
            <a:t>TOTAL REVENUE</a:t>
          </a:r>
        </a:p>
      </xdr:txBody>
    </xdr:sp>
    <xdr:clientData/>
  </xdr:oneCellAnchor>
  <xdr:oneCellAnchor>
    <xdr:from>
      <xdr:col>15</xdr:col>
      <xdr:colOff>343829</xdr:colOff>
      <xdr:row>15</xdr:row>
      <xdr:rowOff>176561</xdr:rowOff>
    </xdr:from>
    <xdr:ext cx="184731" cy="264560"/>
    <xdr:sp macro="" textlink="">
      <xdr:nvSpPr>
        <xdr:cNvPr id="37" name="TextBox 36">
          <a:extLst>
            <a:ext uri="{FF2B5EF4-FFF2-40B4-BE49-F238E27FC236}">
              <a16:creationId xmlns:a16="http://schemas.microsoft.com/office/drawing/2014/main" id="{495C2B1A-C0B9-4D76-34E2-2215D2EFCEA9}"/>
            </a:ext>
          </a:extLst>
        </xdr:cNvPr>
        <xdr:cNvSpPr txBox="1"/>
      </xdr:nvSpPr>
      <xdr:spPr>
        <a:xfrm>
          <a:off x="9543585" y="2964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153970</xdr:colOff>
      <xdr:row>7</xdr:row>
      <xdr:rowOff>21771</xdr:rowOff>
    </xdr:from>
    <xdr:to>
      <xdr:col>21</xdr:col>
      <xdr:colOff>500743</xdr:colOff>
      <xdr:row>7</xdr:row>
      <xdr:rowOff>46891</xdr:rowOff>
    </xdr:to>
    <xdr:cxnSp macro="">
      <xdr:nvCxnSpPr>
        <xdr:cNvPr id="42" name="Straight Connector 41">
          <a:extLst>
            <a:ext uri="{FF2B5EF4-FFF2-40B4-BE49-F238E27FC236}">
              <a16:creationId xmlns:a16="http://schemas.microsoft.com/office/drawing/2014/main" id="{A4F479CF-8916-EBC9-7D56-0A463713C149}"/>
            </a:ext>
          </a:extLst>
        </xdr:cNvPr>
        <xdr:cNvCxnSpPr/>
      </xdr:nvCxnSpPr>
      <xdr:spPr>
        <a:xfrm flipV="1">
          <a:off x="1373170" y="1317171"/>
          <a:ext cx="12506116" cy="25120"/>
        </a:xfrm>
        <a:prstGeom prst="line">
          <a:avLst/>
        </a:prstGeom>
        <a:ln>
          <a:solidFill>
            <a:srgbClr val="996600"/>
          </a:solidFill>
        </a:ln>
        <a:effectLst>
          <a:outerShdw blurRad="50800" dist="38100" dir="2700000" algn="tl" rotWithShape="0">
            <a:prstClr val="black">
              <a:alpha val="40000"/>
            </a:prstClr>
          </a:outerShdw>
        </a:effectLst>
      </xdr:spPr>
      <xdr:style>
        <a:lnRef idx="1">
          <a:schemeClr val="accent3"/>
        </a:lnRef>
        <a:fillRef idx="0">
          <a:schemeClr val="accent3"/>
        </a:fillRef>
        <a:effectRef idx="0">
          <a:schemeClr val="accent3"/>
        </a:effectRef>
        <a:fontRef idx="minor">
          <a:schemeClr val="tx1"/>
        </a:fontRef>
      </xdr:style>
    </xdr:cxnSp>
    <xdr:clientData/>
  </xdr:twoCellAnchor>
  <xdr:twoCellAnchor>
    <xdr:from>
      <xdr:col>0</xdr:col>
      <xdr:colOff>264583</xdr:colOff>
      <xdr:row>9</xdr:row>
      <xdr:rowOff>70698</xdr:rowOff>
    </xdr:from>
    <xdr:to>
      <xdr:col>6</xdr:col>
      <xdr:colOff>497416</xdr:colOff>
      <xdr:row>22</xdr:row>
      <xdr:rowOff>74082</xdr:rowOff>
    </xdr:to>
    <xdr:graphicFrame macro="">
      <xdr:nvGraphicFramePr>
        <xdr:cNvPr id="66" name="Chart 65">
          <a:extLst>
            <a:ext uri="{FF2B5EF4-FFF2-40B4-BE49-F238E27FC236}">
              <a16:creationId xmlns:a16="http://schemas.microsoft.com/office/drawing/2014/main" id="{ED704153-2604-4058-A610-3E2B5F441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582083</xdr:colOff>
      <xdr:row>9</xdr:row>
      <xdr:rowOff>109980</xdr:rowOff>
    </xdr:from>
    <xdr:to>
      <xdr:col>12</xdr:col>
      <xdr:colOff>127000</xdr:colOff>
      <xdr:row>21</xdr:row>
      <xdr:rowOff>105833</xdr:rowOff>
    </xdr:to>
    <xdr:graphicFrame macro="">
      <xdr:nvGraphicFramePr>
        <xdr:cNvPr id="69" name="Chart 68">
          <a:extLst>
            <a:ext uri="{FF2B5EF4-FFF2-40B4-BE49-F238E27FC236}">
              <a16:creationId xmlns:a16="http://schemas.microsoft.com/office/drawing/2014/main" id="{42EFF65B-FDAA-482D-81A2-416D99C88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31750</xdr:colOff>
      <xdr:row>9</xdr:row>
      <xdr:rowOff>141402</xdr:rowOff>
    </xdr:from>
    <xdr:to>
      <xdr:col>17</xdr:col>
      <xdr:colOff>412750</xdr:colOff>
      <xdr:row>21</xdr:row>
      <xdr:rowOff>148167</xdr:rowOff>
    </xdr:to>
    <xdr:graphicFrame macro="">
      <xdr:nvGraphicFramePr>
        <xdr:cNvPr id="71" name="Chart 70">
          <a:extLst>
            <a:ext uri="{FF2B5EF4-FFF2-40B4-BE49-F238E27FC236}">
              <a16:creationId xmlns:a16="http://schemas.microsoft.com/office/drawing/2014/main" id="{B1A07B1F-23F6-4032-8A13-0EBAB2CF6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573462</xdr:colOff>
      <xdr:row>22</xdr:row>
      <xdr:rowOff>125690</xdr:rowOff>
    </xdr:from>
    <xdr:to>
      <xdr:col>6</xdr:col>
      <xdr:colOff>444499</xdr:colOff>
      <xdr:row>33</xdr:row>
      <xdr:rowOff>169333</xdr:rowOff>
    </xdr:to>
    <xdr:graphicFrame macro="">
      <xdr:nvGraphicFramePr>
        <xdr:cNvPr id="73" name="Chart 72">
          <a:extLst>
            <a:ext uri="{FF2B5EF4-FFF2-40B4-BE49-F238E27FC236}">
              <a16:creationId xmlns:a16="http://schemas.microsoft.com/office/drawing/2014/main" id="{EFACD90C-DB35-47E8-B771-04ACEA053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270076</xdr:colOff>
      <xdr:row>22</xdr:row>
      <xdr:rowOff>117231</xdr:rowOff>
    </xdr:from>
    <xdr:to>
      <xdr:col>17</xdr:col>
      <xdr:colOff>603250</xdr:colOff>
      <xdr:row>34</xdr:row>
      <xdr:rowOff>148166</xdr:rowOff>
    </xdr:to>
    <xdr:graphicFrame macro="">
      <xdr:nvGraphicFramePr>
        <xdr:cNvPr id="89" name="Chart 88">
          <a:extLst>
            <a:ext uri="{FF2B5EF4-FFF2-40B4-BE49-F238E27FC236}">
              <a16:creationId xmlns:a16="http://schemas.microsoft.com/office/drawing/2014/main" id="{D4D4D7A4-5EA0-4845-9664-93A753FA6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35</xdr:row>
      <xdr:rowOff>116237</xdr:rowOff>
    </xdr:from>
    <xdr:to>
      <xdr:col>6</xdr:col>
      <xdr:colOff>264583</xdr:colOff>
      <xdr:row>49</xdr:row>
      <xdr:rowOff>127000</xdr:rowOff>
    </xdr:to>
    <xdr:graphicFrame macro="">
      <xdr:nvGraphicFramePr>
        <xdr:cNvPr id="90" name="Chart 89">
          <a:extLst>
            <a:ext uri="{FF2B5EF4-FFF2-40B4-BE49-F238E27FC236}">
              <a16:creationId xmlns:a16="http://schemas.microsoft.com/office/drawing/2014/main" id="{6A4CA1D8-3320-4358-8A5A-1B53846AA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721896</xdr:colOff>
      <xdr:row>35</xdr:row>
      <xdr:rowOff>43844</xdr:rowOff>
    </xdr:from>
    <xdr:to>
      <xdr:col>17</xdr:col>
      <xdr:colOff>423184</xdr:colOff>
      <xdr:row>48</xdr:row>
      <xdr:rowOff>107172</xdr:rowOff>
    </xdr:to>
    <mc:AlternateContent xmlns:mc="http://schemas.openxmlformats.org/markup-compatibility/2006">
      <mc:Choice xmlns:cx1="http://schemas.microsoft.com/office/drawing/2015/9/8/chartex" Requires="cx1">
        <xdr:graphicFrame macro="">
          <xdr:nvGraphicFramePr>
            <xdr:cNvPr id="92" name="Chart 91">
              <a:extLst>
                <a:ext uri="{FF2B5EF4-FFF2-40B4-BE49-F238E27FC236}">
                  <a16:creationId xmlns:a16="http://schemas.microsoft.com/office/drawing/2014/main" id="{20B73473-EB9F-442D-91A1-2015BD9915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486317" y="6594370"/>
              <a:ext cx="3965814" cy="24963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21167</xdr:colOff>
      <xdr:row>9</xdr:row>
      <xdr:rowOff>167897</xdr:rowOff>
    </xdr:from>
    <xdr:to>
      <xdr:col>23</xdr:col>
      <xdr:colOff>285750</xdr:colOff>
      <xdr:row>21</xdr:row>
      <xdr:rowOff>95250</xdr:rowOff>
    </xdr:to>
    <xdr:graphicFrame macro="">
      <xdr:nvGraphicFramePr>
        <xdr:cNvPr id="93" name="Chart 92">
          <a:extLst>
            <a:ext uri="{FF2B5EF4-FFF2-40B4-BE49-F238E27FC236}">
              <a16:creationId xmlns:a16="http://schemas.microsoft.com/office/drawing/2014/main" id="{F9FD0E19-133A-4ABF-A875-9EA68DAF4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564077</xdr:colOff>
      <xdr:row>22</xdr:row>
      <xdr:rowOff>129072</xdr:rowOff>
    </xdr:from>
    <xdr:to>
      <xdr:col>23</xdr:col>
      <xdr:colOff>391582</xdr:colOff>
      <xdr:row>34</xdr:row>
      <xdr:rowOff>95250</xdr:rowOff>
    </xdr:to>
    <xdr:graphicFrame macro="">
      <xdr:nvGraphicFramePr>
        <xdr:cNvPr id="94" name="Chart 93">
          <a:extLst>
            <a:ext uri="{FF2B5EF4-FFF2-40B4-BE49-F238E27FC236}">
              <a16:creationId xmlns:a16="http://schemas.microsoft.com/office/drawing/2014/main" id="{AC921C6A-0F1C-46AB-AC49-403B6CECB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286987</xdr:colOff>
      <xdr:row>35</xdr:row>
      <xdr:rowOff>177928</xdr:rowOff>
    </xdr:from>
    <xdr:to>
      <xdr:col>23</xdr:col>
      <xdr:colOff>476249</xdr:colOff>
      <xdr:row>48</xdr:row>
      <xdr:rowOff>173789</xdr:rowOff>
    </xdr:to>
    <xdr:graphicFrame macro="">
      <xdr:nvGraphicFramePr>
        <xdr:cNvPr id="95" name="Chart 94">
          <a:extLst>
            <a:ext uri="{FF2B5EF4-FFF2-40B4-BE49-F238E27FC236}">
              <a16:creationId xmlns:a16="http://schemas.microsoft.com/office/drawing/2014/main" id="{7E5277BD-C349-4FDB-9E4F-1E566B6A1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23</xdr:col>
      <xdr:colOff>577649</xdr:colOff>
      <xdr:row>10</xdr:row>
      <xdr:rowOff>29741</xdr:rowOff>
    </xdr:from>
    <xdr:to>
      <xdr:col>26</xdr:col>
      <xdr:colOff>585398</xdr:colOff>
      <xdr:row>19</xdr:row>
      <xdr:rowOff>122641</xdr:rowOff>
    </xdr:to>
    <mc:AlternateContent xmlns:mc="http://schemas.openxmlformats.org/markup-compatibility/2006" xmlns:a14="http://schemas.microsoft.com/office/drawing/2010/main">
      <mc:Choice Requires="a14">
        <xdr:graphicFrame macro="">
          <xdr:nvGraphicFramePr>
            <xdr:cNvPr id="96" name="Model 1">
              <a:extLst>
                <a:ext uri="{FF2B5EF4-FFF2-40B4-BE49-F238E27FC236}">
                  <a16:creationId xmlns:a16="http://schemas.microsoft.com/office/drawing/2014/main" id="{AF7A295E-4672-477A-90DE-09D53E7679DB}"/>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15182649" y="1807741"/>
              <a:ext cx="1836549" cy="169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581252</xdr:colOff>
      <xdr:row>19</xdr:row>
      <xdr:rowOff>173330</xdr:rowOff>
    </xdr:from>
    <xdr:to>
      <xdr:col>26</xdr:col>
      <xdr:colOff>589001</xdr:colOff>
      <xdr:row>29</xdr:row>
      <xdr:rowOff>3996</xdr:rowOff>
    </xdr:to>
    <mc:AlternateContent xmlns:mc="http://schemas.openxmlformats.org/markup-compatibility/2006" xmlns:a14="http://schemas.microsoft.com/office/drawing/2010/main">
      <mc:Choice Requires="a14">
        <xdr:graphicFrame macro="">
          <xdr:nvGraphicFramePr>
            <xdr:cNvPr id="97" name="Region 1">
              <a:extLst>
                <a:ext uri="{FF2B5EF4-FFF2-40B4-BE49-F238E27FC236}">
                  <a16:creationId xmlns:a16="http://schemas.microsoft.com/office/drawing/2014/main" id="{F02EA06D-3D85-4CBC-9096-6EB4C638FDA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299884" y="3729330"/>
              <a:ext cx="1852591" cy="1684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589090</xdr:colOff>
      <xdr:row>29</xdr:row>
      <xdr:rowOff>64660</xdr:rowOff>
    </xdr:from>
    <xdr:to>
      <xdr:col>26</xdr:col>
      <xdr:colOff>596840</xdr:colOff>
      <xdr:row>37</xdr:row>
      <xdr:rowOff>58205</xdr:rowOff>
    </xdr:to>
    <mc:AlternateContent xmlns:mc="http://schemas.openxmlformats.org/markup-compatibility/2006" xmlns:a14="http://schemas.microsoft.com/office/drawing/2010/main">
      <mc:Choice Requires="a14">
        <xdr:graphicFrame macro="">
          <xdr:nvGraphicFramePr>
            <xdr:cNvPr id="98" name="Units Sold 1">
              <a:extLst>
                <a:ext uri="{FF2B5EF4-FFF2-40B4-BE49-F238E27FC236}">
                  <a16:creationId xmlns:a16="http://schemas.microsoft.com/office/drawing/2014/main" id="{D71CC704-B0DE-4B02-AA8D-8036EB13D486}"/>
                </a:ext>
              </a:extLst>
            </xdr:cNvPr>
            <xdr:cNvGraphicFramePr/>
          </xdr:nvGraphicFramePr>
          <xdr:xfrm>
            <a:off x="0" y="0"/>
            <a:ext cx="0" cy="0"/>
          </xdr:xfrm>
          <a:graphic>
            <a:graphicData uri="http://schemas.microsoft.com/office/drawing/2010/slicer">
              <sle:slicer xmlns:sle="http://schemas.microsoft.com/office/drawing/2010/slicer" name="Units Sold 1"/>
            </a:graphicData>
          </a:graphic>
        </xdr:graphicFrame>
      </mc:Choice>
      <mc:Fallback xmlns="">
        <xdr:sp macro="" textlink="">
          <xdr:nvSpPr>
            <xdr:cNvPr id="0" name=""/>
            <xdr:cNvSpPr>
              <a:spLocks noTextEdit="1"/>
            </xdr:cNvSpPr>
          </xdr:nvSpPr>
          <xdr:spPr>
            <a:xfrm>
              <a:off x="15307722" y="5492239"/>
              <a:ext cx="1852592" cy="1490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103432</xdr:colOff>
      <xdr:row>0</xdr:row>
      <xdr:rowOff>121980</xdr:rowOff>
    </xdr:from>
    <xdr:to>
      <xdr:col>11</xdr:col>
      <xdr:colOff>734549</xdr:colOff>
      <xdr:row>4</xdr:row>
      <xdr:rowOff>9052</xdr:rowOff>
    </xdr:to>
    <xdr:pic>
      <xdr:nvPicPr>
        <xdr:cNvPr id="103" name="Graphic 102" descr="Bar graph with upward trend with solid fill">
          <a:extLst>
            <a:ext uri="{FF2B5EF4-FFF2-40B4-BE49-F238E27FC236}">
              <a16:creationId xmlns:a16="http://schemas.microsoft.com/office/drawing/2014/main" id="{C423F944-FC8B-54D7-2588-27981173CF5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787812" y="121980"/>
          <a:ext cx="631117" cy="620135"/>
        </a:xfrm>
        <a:prstGeom prst="rect">
          <a:avLst/>
        </a:prstGeom>
        <a:effectLst>
          <a:outerShdw blurRad="50800" dist="38100" algn="l" rotWithShape="0">
            <a:prstClr val="black">
              <a:alpha val="40000"/>
            </a:prstClr>
          </a:outerShdw>
        </a:effectLst>
      </xdr:spPr>
    </xdr:pic>
    <xdr:clientData/>
  </xdr:twoCellAnchor>
  <xdr:twoCellAnchor editAs="oneCell">
    <xdr:from>
      <xdr:col>14</xdr:col>
      <xdr:colOff>248558</xdr:colOff>
      <xdr:row>0</xdr:row>
      <xdr:rowOff>144683</xdr:rowOff>
    </xdr:from>
    <xdr:to>
      <xdr:col>14</xdr:col>
      <xdr:colOff>924638</xdr:colOff>
      <xdr:row>4</xdr:row>
      <xdr:rowOff>55201</xdr:rowOff>
    </xdr:to>
    <xdr:pic>
      <xdr:nvPicPr>
        <xdr:cNvPr id="105" name="Graphic 104" descr="Money with solid fill">
          <a:extLst>
            <a:ext uri="{FF2B5EF4-FFF2-40B4-BE49-F238E27FC236}">
              <a16:creationId xmlns:a16="http://schemas.microsoft.com/office/drawing/2014/main" id="{42795EB6-2020-CC17-3410-06DF4339918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900634" y="144683"/>
          <a:ext cx="676080" cy="643581"/>
        </a:xfrm>
        <a:prstGeom prst="rect">
          <a:avLst/>
        </a:prstGeom>
        <a:effectLst>
          <a:outerShdw blurRad="50800" dist="38100" algn="l" rotWithShape="0">
            <a:prstClr val="black">
              <a:alpha val="40000"/>
            </a:prstClr>
          </a:outerShdw>
        </a:effectLst>
      </xdr:spPr>
    </xdr:pic>
    <xdr:clientData/>
  </xdr:twoCellAnchor>
  <xdr:twoCellAnchor editAs="oneCell">
    <xdr:from>
      <xdr:col>16</xdr:col>
      <xdr:colOff>477826</xdr:colOff>
      <xdr:row>0</xdr:row>
      <xdr:rowOff>178517</xdr:rowOff>
    </xdr:from>
    <xdr:to>
      <xdr:col>18</xdr:col>
      <xdr:colOff>34278</xdr:colOff>
      <xdr:row>4</xdr:row>
      <xdr:rowOff>131623</xdr:rowOff>
    </xdr:to>
    <xdr:pic>
      <xdr:nvPicPr>
        <xdr:cNvPr id="107" name="Graphic 106" descr="Car with solid fill">
          <a:extLst>
            <a:ext uri="{FF2B5EF4-FFF2-40B4-BE49-F238E27FC236}">
              <a16:creationId xmlns:a16="http://schemas.microsoft.com/office/drawing/2014/main" id="{A72F8E13-3043-E26D-C288-5685B831A36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788940" y="178517"/>
          <a:ext cx="771794" cy="686169"/>
        </a:xfrm>
        <a:prstGeom prst="rect">
          <a:avLst/>
        </a:prstGeom>
        <a:effectLst>
          <a:outerShdw blurRad="50800" dist="38100" dir="13500000" algn="br" rotWithShape="0">
            <a:prstClr val="black">
              <a:alpha val="40000"/>
            </a:prstClr>
          </a:outerShdw>
        </a:effectLst>
      </xdr:spPr>
    </xdr:pic>
    <xdr:clientData/>
  </xdr:twoCellAnchor>
  <xdr:twoCellAnchor>
    <xdr:from>
      <xdr:col>6</xdr:col>
      <xdr:colOff>539517</xdr:colOff>
      <xdr:row>22</xdr:row>
      <xdr:rowOff>105870</xdr:rowOff>
    </xdr:from>
    <xdr:to>
      <xdr:col>12</xdr:col>
      <xdr:colOff>238699</xdr:colOff>
      <xdr:row>34</xdr:row>
      <xdr:rowOff>10583</xdr:rowOff>
    </xdr:to>
    <xdr:graphicFrame macro="">
      <xdr:nvGraphicFramePr>
        <xdr:cNvPr id="2" name="Chart 1">
          <a:extLst>
            <a:ext uri="{FF2B5EF4-FFF2-40B4-BE49-F238E27FC236}">
              <a16:creationId xmlns:a16="http://schemas.microsoft.com/office/drawing/2014/main" id="{6BC5BCF5-B310-41BB-8142-8FF51AF7B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213895</xdr:colOff>
      <xdr:row>35</xdr:row>
      <xdr:rowOff>139049</xdr:rowOff>
    </xdr:from>
    <xdr:to>
      <xdr:col>12</xdr:col>
      <xdr:colOff>74084</xdr:colOff>
      <xdr:row>49</xdr:row>
      <xdr:rowOff>74083</xdr:rowOff>
    </xdr:to>
    <xdr:graphicFrame macro="">
      <xdr:nvGraphicFramePr>
        <xdr:cNvPr id="3" name="Chart 2">
          <a:extLst>
            <a:ext uri="{FF2B5EF4-FFF2-40B4-BE49-F238E27FC236}">
              <a16:creationId xmlns:a16="http://schemas.microsoft.com/office/drawing/2014/main" id="{32AF390B-778A-43C5-9A48-2ECF8E642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24</xdr:col>
      <xdr:colOff>0</xdr:colOff>
      <xdr:row>38</xdr:row>
      <xdr:rowOff>0</xdr:rowOff>
    </xdr:from>
    <xdr:to>
      <xdr:col>27</xdr:col>
      <xdr:colOff>1007</xdr:colOff>
      <xdr:row>44</xdr:row>
      <xdr:rowOff>16625</xdr:rowOff>
    </xdr:to>
    <mc:AlternateContent xmlns:mc="http://schemas.openxmlformats.org/markup-compatibility/2006" xmlns:a14="http://schemas.microsoft.com/office/drawing/2010/main">
      <mc:Choice Requires="a14">
        <xdr:graphicFrame macro="">
          <xdr:nvGraphicFramePr>
            <xdr:cNvPr id="4" name="Years (Date) 1">
              <a:extLst>
                <a:ext uri="{FF2B5EF4-FFF2-40B4-BE49-F238E27FC236}">
                  <a16:creationId xmlns:a16="http://schemas.microsoft.com/office/drawing/2014/main" id="{40FE02F7-A126-49FA-B776-DECED34B4AE8}"/>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5333579" y="7112000"/>
              <a:ext cx="1844842" cy="1139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BIYA BASRI" refreshedDate="46123.773809606479" createdVersion="8" refreshedVersion="8" minRefreshableVersion="3" recordCount="1000" xr:uid="{8D191520-28A6-4532-8A3F-CE480C590DAF}">
  <cacheSource type="worksheet">
    <worksheetSource name="Porsche_Sales"/>
  </cacheSource>
  <cacheFields count="14">
    <cacheField name="Date" numFmtId="14">
      <sharedItems containsSemiMixedTypes="0" containsNonDate="0" containsDate="1" containsString="0" minDate="2023-01-01T00:00:00" maxDate="2025-09-27T00:00:00" count="1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sharedItems>
      <fieldGroup par="13"/>
    </cacheField>
    <cacheField name="Model" numFmtId="0">
      <sharedItems count="5">
        <s v="Macan"/>
        <s v="Taycan"/>
        <s v="911 Carrera"/>
        <s v="Panamera"/>
        <s v="Cayenne"/>
      </sharedItems>
    </cacheField>
    <cacheField name="Region" numFmtId="0">
      <sharedItems count="5">
        <s v="Hyderabad"/>
        <s v="Mumbai"/>
        <s v="Delhi"/>
        <s v="Chennai"/>
        <s v="Bangalore"/>
      </sharedItems>
    </cacheField>
    <cacheField name="Units Sold" numFmtId="0">
      <sharedItems containsSemiMixedTypes="0" containsString="0" containsNumber="1" containsInteger="1" minValue="1" maxValue="4" count="4">
        <n v="2"/>
        <n v="3"/>
        <n v="4"/>
        <n v="1"/>
      </sharedItems>
    </cacheField>
    <cacheField name="Price" numFmtId="0">
      <sharedItems containsSemiMixedTypes="0" containsString="0" containsNumber="1" containsInteger="1" minValue="9000000" maxValue="18000000" count="5">
        <n v="9000000"/>
        <n v="17000000"/>
        <n v="18000000"/>
        <n v="16000000"/>
        <n v="15000000"/>
      </sharedItems>
    </cacheField>
    <cacheField name="Discount %" numFmtId="0">
      <sharedItems containsSemiMixedTypes="0" containsString="0" containsNumber="1" containsInteger="1" minValue="2" maxValue="6" count="5">
        <n v="4"/>
        <n v="5"/>
        <n v="3"/>
        <n v="2"/>
        <n v="6"/>
      </sharedItems>
    </cacheField>
    <cacheField name="GST" numFmtId="0">
      <sharedItems containsSemiMixedTypes="0" containsString="0" containsNumber="1" containsInteger="1" minValue="1522800" maxValue="3175200" count="25">
        <n v="1555200"/>
        <n v="2907000"/>
        <n v="2968200"/>
        <n v="3175200"/>
        <n v="2793600"/>
        <n v="3110400"/>
        <n v="3078000"/>
        <n v="3045600"/>
        <n v="2736000"/>
        <n v="3142800"/>
        <n v="1539000"/>
        <n v="2646000"/>
        <n v="2538000"/>
        <n v="2764800"/>
        <n v="2937600"/>
        <n v="2592000"/>
        <n v="2822400"/>
        <n v="1571400"/>
        <n v="1522800"/>
        <n v="2619000"/>
        <n v="1587600"/>
        <n v="2876400"/>
        <n v="2707200"/>
        <n v="2998800"/>
        <n v="2565000"/>
      </sharedItems>
    </cacheField>
    <cacheField name="Revenue" numFmtId="0">
      <sharedItems containsSemiMixedTypes="0" containsString="0" containsNumber="1" containsInteger="1" minValue="8460000" maxValue="70560000" count="90">
        <n v="17280000"/>
        <n v="48450000"/>
        <n v="25920000"/>
        <n v="32980000"/>
        <n v="35280000"/>
        <n v="62080000"/>
        <n v="68400000"/>
        <n v="17100000"/>
        <n v="33840000"/>
        <n v="30400000"/>
        <n v="52380000"/>
        <n v="51300000"/>
        <n v="16920000"/>
        <n v="25650000"/>
        <n v="17640000"/>
        <n v="14700000"/>
        <n v="28200000"/>
        <n v="44100000"/>
        <n v="64600000"/>
        <n v="46080000"/>
        <n v="34200000"/>
        <n v="46560000"/>
        <n v="48960000"/>
        <n v="14400000"/>
        <n v="32300000"/>
        <n v="50760000"/>
        <n v="15680000"/>
        <n v="51840000"/>
        <n v="34920000"/>
        <n v="69120000"/>
        <n v="67680000"/>
        <n v="29400000"/>
        <n v="60800000"/>
        <n v="16320000"/>
        <n v="25380000"/>
        <n v="70560000"/>
        <n v="29100000"/>
        <n v="34560000"/>
        <n v="26190000"/>
        <n v="65280000"/>
        <n v="8820000"/>
        <n v="45600000"/>
        <n v="47940000"/>
        <n v="16490000"/>
        <n v="62720000"/>
        <n v="15200000"/>
        <n v="58800000"/>
        <n v="32640000"/>
        <n v="14550000"/>
        <n v="17460000"/>
        <n v="30080000"/>
        <n v="15520000"/>
        <n v="49470000"/>
        <n v="8460000"/>
        <n v="14100000"/>
        <n v="31960000"/>
        <n v="15980000"/>
        <n v="43650000"/>
        <n v="16660000"/>
        <n v="30720000"/>
        <n v="66640000"/>
        <n v="8730000"/>
        <n v="52920000"/>
        <n v="43200000"/>
        <n v="26460000"/>
        <n v="57000000"/>
        <n v="60160000"/>
        <n v="42750000"/>
        <n v="28500000"/>
        <n v="61440000"/>
        <n v="57600000"/>
        <n v="31040000"/>
        <n v="33320000"/>
        <n v="8640000"/>
        <n v="49980000"/>
        <n v="63920000"/>
        <n v="8550000"/>
        <n v="16150000"/>
        <n v="65960000"/>
        <n v="58200000"/>
        <n v="31360000"/>
        <n v="28800000"/>
        <n v="42300000"/>
        <n v="47040000"/>
        <n v="69840000"/>
        <n v="15040000"/>
        <n v="14250000"/>
        <n v="56400000"/>
        <n v="45120000"/>
        <n v="15360000"/>
      </sharedItems>
    </cacheField>
    <cacheField name="Cost" numFmtId="0">
      <sharedItems containsSemiMixedTypes="0" containsString="0" containsNumber="1" containsInteger="1" minValue="7200000" maxValue="57600000" count="18">
        <n v="14400000"/>
        <n v="40800000"/>
        <n v="21600000"/>
        <n v="27200000"/>
        <n v="28800000"/>
        <n v="51200000"/>
        <n v="57600000"/>
        <n v="25600000"/>
        <n v="43200000"/>
        <n v="12000000"/>
        <n v="24000000"/>
        <n v="36000000"/>
        <n v="54400000"/>
        <n v="38400000"/>
        <n v="12800000"/>
        <n v="13600000"/>
        <n v="7200000"/>
        <n v="48000000"/>
      </sharedItems>
    </cacheField>
    <cacheField name="Profit" numFmtId="0">
      <sharedItems containsSemiMixedTypes="0" containsString="0" containsNumber="1" containsInteger="1" minValue="1260000" maxValue="12960000" count="66">
        <n v="2880000"/>
        <n v="7650000"/>
        <n v="4320000"/>
        <n v="5780000"/>
        <n v="6480000"/>
        <n v="10880000"/>
        <n v="10800000"/>
        <n v="2700000"/>
        <n v="5040000"/>
        <n v="4800000"/>
        <n v="9180000"/>
        <n v="8100000"/>
        <n v="2520000"/>
        <n v="4050000"/>
        <n v="3240000"/>
        <n v="4200000"/>
        <n v="10200000"/>
        <n v="7680000"/>
        <n v="5400000"/>
        <n v="8160000"/>
        <n v="2400000"/>
        <n v="5100000"/>
        <n v="7560000"/>
        <n v="8640000"/>
        <n v="6120000"/>
        <n v="11520000"/>
        <n v="10080000"/>
        <n v="9600000"/>
        <n v="2720000"/>
        <n v="3780000"/>
        <n v="12960000"/>
        <n v="5760000"/>
        <n v="4590000"/>
        <n v="1620000"/>
        <n v="7200000"/>
        <n v="7140000"/>
        <n v="2890000"/>
        <n v="5440000"/>
        <n v="2550000"/>
        <n v="3060000"/>
        <n v="4480000"/>
        <n v="8670000"/>
        <n v="1260000"/>
        <n v="2100000"/>
        <n v="4760000"/>
        <n v="2380000"/>
        <n v="5120000"/>
        <n v="12240000"/>
        <n v="1530000"/>
        <n v="9720000"/>
        <n v="4860000"/>
        <n v="9000000"/>
        <n v="8960000"/>
        <n v="6750000"/>
        <n v="4500000"/>
        <n v="10240000"/>
        <n v="1440000"/>
        <n v="9520000"/>
        <n v="1350000"/>
        <n v="11560000"/>
        <n v="6300000"/>
        <n v="2240000"/>
        <n v="2250000"/>
        <n v="8400000"/>
        <n v="6720000"/>
        <n v="2560000"/>
      </sharedItems>
    </cacheField>
    <cacheField name="Month Name" numFmtId="0">
      <sharedItems count="12">
        <s v="January"/>
        <s v="February"/>
        <s v="March"/>
        <s v="April"/>
        <s v="May"/>
        <s v="June"/>
        <s v="July"/>
        <s v="August"/>
        <s v="September"/>
        <s v="October"/>
        <s v="November"/>
        <s v="December"/>
      </sharedItems>
    </cacheField>
    <cacheField name="Months (Date)" numFmtId="0" databaseField="0">
      <fieldGroup base="0">
        <rangePr groupBy="months" startDate="2023-01-01T00:00:00" endDate="2025-09-27T00:00:00"/>
        <groupItems count="14">
          <s v="&lt;01-01-2023"/>
          <s v="Jan"/>
          <s v="Feb"/>
          <s v="Mar"/>
          <s v="Apr"/>
          <s v="May"/>
          <s v="Jun"/>
          <s v="Jul"/>
          <s v="Aug"/>
          <s v="Sep"/>
          <s v="Oct"/>
          <s v="Nov"/>
          <s v="Dec"/>
          <s v="&gt;27-09-2025"/>
        </groupItems>
      </fieldGroup>
    </cacheField>
    <cacheField name="Quarters (Date)" numFmtId="0" databaseField="0">
      <fieldGroup base="0">
        <rangePr groupBy="quarters" startDate="2023-01-01T00:00:00" endDate="2025-09-27T00:00:00"/>
        <groupItems count="6">
          <s v="&lt;01-01-2023"/>
          <s v="Qtr1"/>
          <s v="Qtr2"/>
          <s v="Qtr3"/>
          <s v="Qtr4"/>
          <s v="&gt;27-09-2025"/>
        </groupItems>
      </fieldGroup>
    </cacheField>
    <cacheField name="Years (Date)" numFmtId="0" databaseField="0">
      <fieldGroup base="0">
        <rangePr groupBy="years" startDate="2023-01-01T00:00:00" endDate="2025-09-27T00:00:00"/>
        <groupItems count="5">
          <s v="&lt;01-01-2023"/>
          <s v="2023"/>
          <s v="2024"/>
          <s v="2025"/>
          <s v="&gt;27-09-2025"/>
        </groupItems>
      </fieldGroup>
    </cacheField>
  </cacheFields>
  <extLst>
    <ext xmlns:x14="http://schemas.microsoft.com/office/spreadsheetml/2009/9/main" uri="{725AE2AE-9491-48be-B2B4-4EB974FC3084}">
      <x14:pivotCacheDefinition pivotCacheId="188652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r>
  <r>
    <x v="1"/>
    <x v="1"/>
    <x v="1"/>
    <x v="1"/>
    <x v="1"/>
    <x v="1"/>
    <x v="1"/>
    <x v="1"/>
    <x v="1"/>
    <x v="1"/>
    <x v="0"/>
  </r>
  <r>
    <x v="2"/>
    <x v="0"/>
    <x v="1"/>
    <x v="1"/>
    <x v="0"/>
    <x v="0"/>
    <x v="0"/>
    <x v="2"/>
    <x v="2"/>
    <x v="2"/>
    <x v="0"/>
  </r>
  <r>
    <x v="3"/>
    <x v="1"/>
    <x v="2"/>
    <x v="0"/>
    <x v="1"/>
    <x v="2"/>
    <x v="2"/>
    <x v="3"/>
    <x v="3"/>
    <x v="3"/>
    <x v="0"/>
  </r>
  <r>
    <x v="4"/>
    <x v="2"/>
    <x v="2"/>
    <x v="0"/>
    <x v="2"/>
    <x v="3"/>
    <x v="3"/>
    <x v="4"/>
    <x v="4"/>
    <x v="4"/>
    <x v="0"/>
  </r>
  <r>
    <x v="5"/>
    <x v="3"/>
    <x v="0"/>
    <x v="2"/>
    <x v="3"/>
    <x v="2"/>
    <x v="4"/>
    <x v="5"/>
    <x v="5"/>
    <x v="5"/>
    <x v="0"/>
  </r>
  <r>
    <x v="6"/>
    <x v="2"/>
    <x v="0"/>
    <x v="3"/>
    <x v="2"/>
    <x v="0"/>
    <x v="5"/>
    <x v="0"/>
    <x v="0"/>
    <x v="0"/>
    <x v="0"/>
  </r>
  <r>
    <x v="7"/>
    <x v="2"/>
    <x v="3"/>
    <x v="2"/>
    <x v="2"/>
    <x v="1"/>
    <x v="6"/>
    <x v="6"/>
    <x v="6"/>
    <x v="6"/>
    <x v="0"/>
  </r>
  <r>
    <x v="8"/>
    <x v="2"/>
    <x v="2"/>
    <x v="3"/>
    <x v="2"/>
    <x v="1"/>
    <x v="6"/>
    <x v="7"/>
    <x v="0"/>
    <x v="7"/>
    <x v="0"/>
  </r>
  <r>
    <x v="9"/>
    <x v="2"/>
    <x v="1"/>
    <x v="0"/>
    <x v="2"/>
    <x v="4"/>
    <x v="7"/>
    <x v="8"/>
    <x v="4"/>
    <x v="8"/>
    <x v="0"/>
  </r>
  <r>
    <x v="10"/>
    <x v="3"/>
    <x v="2"/>
    <x v="0"/>
    <x v="3"/>
    <x v="1"/>
    <x v="8"/>
    <x v="9"/>
    <x v="7"/>
    <x v="9"/>
    <x v="0"/>
  </r>
  <r>
    <x v="11"/>
    <x v="2"/>
    <x v="0"/>
    <x v="1"/>
    <x v="2"/>
    <x v="2"/>
    <x v="9"/>
    <x v="10"/>
    <x v="8"/>
    <x v="10"/>
    <x v="0"/>
  </r>
  <r>
    <x v="12"/>
    <x v="2"/>
    <x v="4"/>
    <x v="1"/>
    <x v="2"/>
    <x v="1"/>
    <x v="6"/>
    <x v="11"/>
    <x v="8"/>
    <x v="11"/>
    <x v="0"/>
  </r>
  <r>
    <x v="13"/>
    <x v="2"/>
    <x v="2"/>
    <x v="3"/>
    <x v="2"/>
    <x v="4"/>
    <x v="7"/>
    <x v="12"/>
    <x v="0"/>
    <x v="12"/>
    <x v="0"/>
  </r>
  <r>
    <x v="14"/>
    <x v="0"/>
    <x v="3"/>
    <x v="1"/>
    <x v="0"/>
    <x v="1"/>
    <x v="10"/>
    <x v="13"/>
    <x v="2"/>
    <x v="13"/>
    <x v="0"/>
  </r>
  <r>
    <x v="15"/>
    <x v="2"/>
    <x v="2"/>
    <x v="3"/>
    <x v="2"/>
    <x v="3"/>
    <x v="3"/>
    <x v="14"/>
    <x v="0"/>
    <x v="14"/>
    <x v="0"/>
  </r>
  <r>
    <x v="16"/>
    <x v="4"/>
    <x v="3"/>
    <x v="3"/>
    <x v="4"/>
    <x v="3"/>
    <x v="11"/>
    <x v="15"/>
    <x v="9"/>
    <x v="7"/>
    <x v="0"/>
  </r>
  <r>
    <x v="17"/>
    <x v="4"/>
    <x v="2"/>
    <x v="0"/>
    <x v="4"/>
    <x v="4"/>
    <x v="12"/>
    <x v="16"/>
    <x v="10"/>
    <x v="15"/>
    <x v="0"/>
  </r>
  <r>
    <x v="18"/>
    <x v="4"/>
    <x v="4"/>
    <x v="1"/>
    <x v="4"/>
    <x v="3"/>
    <x v="11"/>
    <x v="17"/>
    <x v="11"/>
    <x v="11"/>
    <x v="0"/>
  </r>
  <r>
    <x v="19"/>
    <x v="1"/>
    <x v="1"/>
    <x v="2"/>
    <x v="1"/>
    <x v="1"/>
    <x v="1"/>
    <x v="18"/>
    <x v="12"/>
    <x v="16"/>
    <x v="0"/>
  </r>
  <r>
    <x v="20"/>
    <x v="3"/>
    <x v="1"/>
    <x v="1"/>
    <x v="3"/>
    <x v="0"/>
    <x v="13"/>
    <x v="19"/>
    <x v="13"/>
    <x v="17"/>
    <x v="0"/>
  </r>
  <r>
    <x v="21"/>
    <x v="2"/>
    <x v="0"/>
    <x v="1"/>
    <x v="2"/>
    <x v="1"/>
    <x v="6"/>
    <x v="11"/>
    <x v="8"/>
    <x v="11"/>
    <x v="0"/>
  </r>
  <r>
    <x v="22"/>
    <x v="0"/>
    <x v="2"/>
    <x v="2"/>
    <x v="0"/>
    <x v="1"/>
    <x v="10"/>
    <x v="20"/>
    <x v="4"/>
    <x v="18"/>
    <x v="0"/>
  </r>
  <r>
    <x v="23"/>
    <x v="3"/>
    <x v="1"/>
    <x v="1"/>
    <x v="3"/>
    <x v="2"/>
    <x v="4"/>
    <x v="21"/>
    <x v="13"/>
    <x v="19"/>
    <x v="0"/>
  </r>
  <r>
    <x v="24"/>
    <x v="1"/>
    <x v="3"/>
    <x v="1"/>
    <x v="1"/>
    <x v="0"/>
    <x v="14"/>
    <x v="22"/>
    <x v="1"/>
    <x v="19"/>
    <x v="0"/>
  </r>
  <r>
    <x v="25"/>
    <x v="0"/>
    <x v="0"/>
    <x v="1"/>
    <x v="0"/>
    <x v="1"/>
    <x v="10"/>
    <x v="13"/>
    <x v="2"/>
    <x v="13"/>
    <x v="0"/>
  </r>
  <r>
    <x v="26"/>
    <x v="0"/>
    <x v="3"/>
    <x v="0"/>
    <x v="0"/>
    <x v="1"/>
    <x v="10"/>
    <x v="7"/>
    <x v="0"/>
    <x v="7"/>
    <x v="0"/>
  </r>
  <r>
    <x v="27"/>
    <x v="2"/>
    <x v="0"/>
    <x v="1"/>
    <x v="2"/>
    <x v="1"/>
    <x v="6"/>
    <x v="11"/>
    <x v="8"/>
    <x v="11"/>
    <x v="0"/>
  </r>
  <r>
    <x v="28"/>
    <x v="4"/>
    <x v="0"/>
    <x v="3"/>
    <x v="4"/>
    <x v="0"/>
    <x v="15"/>
    <x v="23"/>
    <x v="9"/>
    <x v="20"/>
    <x v="0"/>
  </r>
  <r>
    <x v="29"/>
    <x v="1"/>
    <x v="4"/>
    <x v="0"/>
    <x v="1"/>
    <x v="1"/>
    <x v="1"/>
    <x v="24"/>
    <x v="3"/>
    <x v="21"/>
    <x v="0"/>
  </r>
  <r>
    <x v="30"/>
    <x v="4"/>
    <x v="4"/>
    <x v="0"/>
    <x v="4"/>
    <x v="4"/>
    <x v="12"/>
    <x v="16"/>
    <x v="10"/>
    <x v="15"/>
    <x v="0"/>
  </r>
  <r>
    <x v="31"/>
    <x v="2"/>
    <x v="0"/>
    <x v="1"/>
    <x v="2"/>
    <x v="2"/>
    <x v="9"/>
    <x v="10"/>
    <x v="8"/>
    <x v="10"/>
    <x v="1"/>
  </r>
  <r>
    <x v="32"/>
    <x v="2"/>
    <x v="2"/>
    <x v="1"/>
    <x v="2"/>
    <x v="4"/>
    <x v="7"/>
    <x v="25"/>
    <x v="8"/>
    <x v="22"/>
    <x v="1"/>
  </r>
  <r>
    <x v="33"/>
    <x v="3"/>
    <x v="0"/>
    <x v="3"/>
    <x v="3"/>
    <x v="3"/>
    <x v="16"/>
    <x v="26"/>
    <x v="14"/>
    <x v="0"/>
    <x v="1"/>
  </r>
  <r>
    <x v="34"/>
    <x v="0"/>
    <x v="2"/>
    <x v="1"/>
    <x v="0"/>
    <x v="0"/>
    <x v="0"/>
    <x v="2"/>
    <x v="2"/>
    <x v="2"/>
    <x v="1"/>
  </r>
  <r>
    <x v="35"/>
    <x v="2"/>
    <x v="0"/>
    <x v="1"/>
    <x v="2"/>
    <x v="4"/>
    <x v="7"/>
    <x v="25"/>
    <x v="8"/>
    <x v="22"/>
    <x v="1"/>
  </r>
  <r>
    <x v="36"/>
    <x v="2"/>
    <x v="3"/>
    <x v="1"/>
    <x v="2"/>
    <x v="0"/>
    <x v="5"/>
    <x v="27"/>
    <x v="8"/>
    <x v="23"/>
    <x v="1"/>
  </r>
  <r>
    <x v="37"/>
    <x v="0"/>
    <x v="3"/>
    <x v="2"/>
    <x v="0"/>
    <x v="2"/>
    <x v="17"/>
    <x v="28"/>
    <x v="4"/>
    <x v="24"/>
    <x v="1"/>
  </r>
  <r>
    <x v="38"/>
    <x v="2"/>
    <x v="4"/>
    <x v="2"/>
    <x v="2"/>
    <x v="0"/>
    <x v="5"/>
    <x v="29"/>
    <x v="6"/>
    <x v="25"/>
    <x v="1"/>
  </r>
  <r>
    <x v="39"/>
    <x v="2"/>
    <x v="3"/>
    <x v="2"/>
    <x v="2"/>
    <x v="4"/>
    <x v="7"/>
    <x v="30"/>
    <x v="6"/>
    <x v="26"/>
    <x v="1"/>
  </r>
  <r>
    <x v="40"/>
    <x v="4"/>
    <x v="3"/>
    <x v="0"/>
    <x v="4"/>
    <x v="3"/>
    <x v="11"/>
    <x v="31"/>
    <x v="10"/>
    <x v="18"/>
    <x v="1"/>
  </r>
  <r>
    <x v="41"/>
    <x v="2"/>
    <x v="0"/>
    <x v="2"/>
    <x v="2"/>
    <x v="4"/>
    <x v="7"/>
    <x v="30"/>
    <x v="6"/>
    <x v="26"/>
    <x v="1"/>
  </r>
  <r>
    <x v="42"/>
    <x v="3"/>
    <x v="3"/>
    <x v="2"/>
    <x v="3"/>
    <x v="1"/>
    <x v="8"/>
    <x v="32"/>
    <x v="5"/>
    <x v="27"/>
    <x v="1"/>
  </r>
  <r>
    <x v="43"/>
    <x v="1"/>
    <x v="4"/>
    <x v="3"/>
    <x v="1"/>
    <x v="0"/>
    <x v="14"/>
    <x v="33"/>
    <x v="15"/>
    <x v="28"/>
    <x v="1"/>
  </r>
  <r>
    <x v="44"/>
    <x v="0"/>
    <x v="1"/>
    <x v="1"/>
    <x v="0"/>
    <x v="4"/>
    <x v="18"/>
    <x v="34"/>
    <x v="2"/>
    <x v="29"/>
    <x v="1"/>
  </r>
  <r>
    <x v="45"/>
    <x v="2"/>
    <x v="2"/>
    <x v="2"/>
    <x v="2"/>
    <x v="3"/>
    <x v="3"/>
    <x v="35"/>
    <x v="6"/>
    <x v="30"/>
    <x v="1"/>
  </r>
  <r>
    <x v="46"/>
    <x v="4"/>
    <x v="3"/>
    <x v="0"/>
    <x v="4"/>
    <x v="2"/>
    <x v="19"/>
    <x v="36"/>
    <x v="10"/>
    <x v="21"/>
    <x v="1"/>
  </r>
  <r>
    <x v="47"/>
    <x v="2"/>
    <x v="3"/>
    <x v="0"/>
    <x v="2"/>
    <x v="0"/>
    <x v="5"/>
    <x v="37"/>
    <x v="4"/>
    <x v="31"/>
    <x v="1"/>
  </r>
  <r>
    <x v="48"/>
    <x v="3"/>
    <x v="0"/>
    <x v="1"/>
    <x v="3"/>
    <x v="0"/>
    <x v="13"/>
    <x v="19"/>
    <x v="13"/>
    <x v="17"/>
    <x v="1"/>
  </r>
  <r>
    <x v="49"/>
    <x v="0"/>
    <x v="4"/>
    <x v="1"/>
    <x v="0"/>
    <x v="2"/>
    <x v="17"/>
    <x v="38"/>
    <x v="2"/>
    <x v="32"/>
    <x v="1"/>
  </r>
  <r>
    <x v="50"/>
    <x v="1"/>
    <x v="3"/>
    <x v="1"/>
    <x v="1"/>
    <x v="1"/>
    <x v="1"/>
    <x v="1"/>
    <x v="1"/>
    <x v="1"/>
    <x v="1"/>
  </r>
  <r>
    <x v="51"/>
    <x v="1"/>
    <x v="2"/>
    <x v="2"/>
    <x v="1"/>
    <x v="0"/>
    <x v="14"/>
    <x v="39"/>
    <x v="12"/>
    <x v="5"/>
    <x v="1"/>
  </r>
  <r>
    <x v="52"/>
    <x v="0"/>
    <x v="0"/>
    <x v="2"/>
    <x v="0"/>
    <x v="4"/>
    <x v="18"/>
    <x v="8"/>
    <x v="4"/>
    <x v="8"/>
    <x v="1"/>
  </r>
  <r>
    <x v="53"/>
    <x v="4"/>
    <x v="0"/>
    <x v="0"/>
    <x v="4"/>
    <x v="4"/>
    <x v="12"/>
    <x v="16"/>
    <x v="10"/>
    <x v="15"/>
    <x v="1"/>
  </r>
  <r>
    <x v="54"/>
    <x v="0"/>
    <x v="3"/>
    <x v="3"/>
    <x v="0"/>
    <x v="3"/>
    <x v="20"/>
    <x v="40"/>
    <x v="16"/>
    <x v="33"/>
    <x v="1"/>
  </r>
  <r>
    <x v="55"/>
    <x v="3"/>
    <x v="0"/>
    <x v="1"/>
    <x v="3"/>
    <x v="1"/>
    <x v="8"/>
    <x v="41"/>
    <x v="13"/>
    <x v="34"/>
    <x v="1"/>
  </r>
  <r>
    <x v="56"/>
    <x v="0"/>
    <x v="0"/>
    <x v="0"/>
    <x v="0"/>
    <x v="1"/>
    <x v="10"/>
    <x v="7"/>
    <x v="0"/>
    <x v="7"/>
    <x v="1"/>
  </r>
  <r>
    <x v="57"/>
    <x v="1"/>
    <x v="3"/>
    <x v="0"/>
    <x v="1"/>
    <x v="1"/>
    <x v="1"/>
    <x v="24"/>
    <x v="3"/>
    <x v="21"/>
    <x v="1"/>
  </r>
  <r>
    <x v="58"/>
    <x v="2"/>
    <x v="0"/>
    <x v="2"/>
    <x v="2"/>
    <x v="3"/>
    <x v="3"/>
    <x v="35"/>
    <x v="6"/>
    <x v="30"/>
    <x v="1"/>
  </r>
  <r>
    <x v="59"/>
    <x v="1"/>
    <x v="0"/>
    <x v="1"/>
    <x v="1"/>
    <x v="4"/>
    <x v="21"/>
    <x v="42"/>
    <x v="1"/>
    <x v="35"/>
    <x v="2"/>
  </r>
  <r>
    <x v="60"/>
    <x v="1"/>
    <x v="4"/>
    <x v="3"/>
    <x v="1"/>
    <x v="2"/>
    <x v="2"/>
    <x v="43"/>
    <x v="15"/>
    <x v="36"/>
    <x v="2"/>
  </r>
  <r>
    <x v="61"/>
    <x v="1"/>
    <x v="3"/>
    <x v="0"/>
    <x v="1"/>
    <x v="2"/>
    <x v="2"/>
    <x v="3"/>
    <x v="3"/>
    <x v="3"/>
    <x v="2"/>
  </r>
  <r>
    <x v="62"/>
    <x v="3"/>
    <x v="3"/>
    <x v="2"/>
    <x v="3"/>
    <x v="3"/>
    <x v="16"/>
    <x v="44"/>
    <x v="5"/>
    <x v="25"/>
    <x v="2"/>
  </r>
  <r>
    <x v="63"/>
    <x v="2"/>
    <x v="0"/>
    <x v="0"/>
    <x v="2"/>
    <x v="1"/>
    <x v="6"/>
    <x v="20"/>
    <x v="4"/>
    <x v="18"/>
    <x v="2"/>
  </r>
  <r>
    <x v="64"/>
    <x v="2"/>
    <x v="4"/>
    <x v="3"/>
    <x v="2"/>
    <x v="4"/>
    <x v="7"/>
    <x v="12"/>
    <x v="0"/>
    <x v="12"/>
    <x v="2"/>
  </r>
  <r>
    <x v="65"/>
    <x v="3"/>
    <x v="0"/>
    <x v="3"/>
    <x v="3"/>
    <x v="1"/>
    <x v="8"/>
    <x v="45"/>
    <x v="14"/>
    <x v="20"/>
    <x v="2"/>
  </r>
  <r>
    <x v="66"/>
    <x v="4"/>
    <x v="4"/>
    <x v="2"/>
    <x v="4"/>
    <x v="3"/>
    <x v="11"/>
    <x v="46"/>
    <x v="17"/>
    <x v="6"/>
    <x v="2"/>
  </r>
  <r>
    <x v="67"/>
    <x v="3"/>
    <x v="0"/>
    <x v="0"/>
    <x v="3"/>
    <x v="1"/>
    <x v="8"/>
    <x v="9"/>
    <x v="7"/>
    <x v="9"/>
    <x v="2"/>
  </r>
  <r>
    <x v="68"/>
    <x v="2"/>
    <x v="0"/>
    <x v="0"/>
    <x v="2"/>
    <x v="4"/>
    <x v="7"/>
    <x v="8"/>
    <x v="4"/>
    <x v="8"/>
    <x v="2"/>
  </r>
  <r>
    <x v="69"/>
    <x v="1"/>
    <x v="4"/>
    <x v="0"/>
    <x v="1"/>
    <x v="0"/>
    <x v="14"/>
    <x v="47"/>
    <x v="3"/>
    <x v="37"/>
    <x v="2"/>
  </r>
  <r>
    <x v="70"/>
    <x v="4"/>
    <x v="1"/>
    <x v="3"/>
    <x v="4"/>
    <x v="2"/>
    <x v="19"/>
    <x v="48"/>
    <x v="9"/>
    <x v="38"/>
    <x v="2"/>
  </r>
  <r>
    <x v="71"/>
    <x v="2"/>
    <x v="2"/>
    <x v="3"/>
    <x v="2"/>
    <x v="0"/>
    <x v="5"/>
    <x v="0"/>
    <x v="0"/>
    <x v="0"/>
    <x v="2"/>
  </r>
  <r>
    <x v="72"/>
    <x v="2"/>
    <x v="1"/>
    <x v="3"/>
    <x v="2"/>
    <x v="2"/>
    <x v="9"/>
    <x v="49"/>
    <x v="0"/>
    <x v="39"/>
    <x v="2"/>
  </r>
  <r>
    <x v="73"/>
    <x v="3"/>
    <x v="4"/>
    <x v="0"/>
    <x v="3"/>
    <x v="4"/>
    <x v="22"/>
    <x v="50"/>
    <x v="7"/>
    <x v="40"/>
    <x v="2"/>
  </r>
  <r>
    <x v="74"/>
    <x v="3"/>
    <x v="2"/>
    <x v="3"/>
    <x v="3"/>
    <x v="2"/>
    <x v="4"/>
    <x v="51"/>
    <x v="14"/>
    <x v="28"/>
    <x v="2"/>
  </r>
  <r>
    <x v="75"/>
    <x v="2"/>
    <x v="3"/>
    <x v="2"/>
    <x v="2"/>
    <x v="4"/>
    <x v="7"/>
    <x v="30"/>
    <x v="6"/>
    <x v="26"/>
    <x v="2"/>
  </r>
  <r>
    <x v="76"/>
    <x v="0"/>
    <x v="2"/>
    <x v="3"/>
    <x v="0"/>
    <x v="3"/>
    <x v="20"/>
    <x v="40"/>
    <x v="16"/>
    <x v="33"/>
    <x v="2"/>
  </r>
  <r>
    <x v="77"/>
    <x v="1"/>
    <x v="0"/>
    <x v="1"/>
    <x v="1"/>
    <x v="2"/>
    <x v="2"/>
    <x v="52"/>
    <x v="1"/>
    <x v="41"/>
    <x v="2"/>
  </r>
  <r>
    <x v="78"/>
    <x v="2"/>
    <x v="4"/>
    <x v="2"/>
    <x v="2"/>
    <x v="3"/>
    <x v="3"/>
    <x v="35"/>
    <x v="6"/>
    <x v="30"/>
    <x v="2"/>
  </r>
  <r>
    <x v="79"/>
    <x v="2"/>
    <x v="2"/>
    <x v="1"/>
    <x v="2"/>
    <x v="1"/>
    <x v="6"/>
    <x v="11"/>
    <x v="8"/>
    <x v="11"/>
    <x v="2"/>
  </r>
  <r>
    <x v="80"/>
    <x v="4"/>
    <x v="4"/>
    <x v="2"/>
    <x v="4"/>
    <x v="3"/>
    <x v="11"/>
    <x v="46"/>
    <x v="17"/>
    <x v="6"/>
    <x v="2"/>
  </r>
  <r>
    <x v="81"/>
    <x v="2"/>
    <x v="3"/>
    <x v="0"/>
    <x v="2"/>
    <x v="0"/>
    <x v="5"/>
    <x v="37"/>
    <x v="4"/>
    <x v="31"/>
    <x v="2"/>
  </r>
  <r>
    <x v="82"/>
    <x v="1"/>
    <x v="4"/>
    <x v="3"/>
    <x v="1"/>
    <x v="0"/>
    <x v="14"/>
    <x v="33"/>
    <x v="15"/>
    <x v="28"/>
    <x v="2"/>
  </r>
  <r>
    <x v="83"/>
    <x v="1"/>
    <x v="2"/>
    <x v="1"/>
    <x v="1"/>
    <x v="0"/>
    <x v="14"/>
    <x v="22"/>
    <x v="1"/>
    <x v="19"/>
    <x v="2"/>
  </r>
  <r>
    <x v="84"/>
    <x v="4"/>
    <x v="2"/>
    <x v="0"/>
    <x v="4"/>
    <x v="3"/>
    <x v="11"/>
    <x v="31"/>
    <x v="10"/>
    <x v="18"/>
    <x v="2"/>
  </r>
  <r>
    <x v="85"/>
    <x v="2"/>
    <x v="1"/>
    <x v="1"/>
    <x v="2"/>
    <x v="1"/>
    <x v="6"/>
    <x v="11"/>
    <x v="8"/>
    <x v="11"/>
    <x v="2"/>
  </r>
  <r>
    <x v="86"/>
    <x v="0"/>
    <x v="1"/>
    <x v="3"/>
    <x v="0"/>
    <x v="4"/>
    <x v="18"/>
    <x v="53"/>
    <x v="16"/>
    <x v="42"/>
    <x v="2"/>
  </r>
  <r>
    <x v="87"/>
    <x v="4"/>
    <x v="0"/>
    <x v="1"/>
    <x v="4"/>
    <x v="3"/>
    <x v="11"/>
    <x v="17"/>
    <x v="11"/>
    <x v="11"/>
    <x v="2"/>
  </r>
  <r>
    <x v="88"/>
    <x v="2"/>
    <x v="4"/>
    <x v="0"/>
    <x v="2"/>
    <x v="3"/>
    <x v="3"/>
    <x v="4"/>
    <x v="4"/>
    <x v="4"/>
    <x v="2"/>
  </r>
  <r>
    <x v="89"/>
    <x v="3"/>
    <x v="2"/>
    <x v="1"/>
    <x v="3"/>
    <x v="1"/>
    <x v="8"/>
    <x v="41"/>
    <x v="13"/>
    <x v="34"/>
    <x v="2"/>
  </r>
  <r>
    <x v="90"/>
    <x v="4"/>
    <x v="4"/>
    <x v="3"/>
    <x v="4"/>
    <x v="4"/>
    <x v="12"/>
    <x v="54"/>
    <x v="9"/>
    <x v="43"/>
    <x v="3"/>
  </r>
  <r>
    <x v="91"/>
    <x v="1"/>
    <x v="2"/>
    <x v="0"/>
    <x v="1"/>
    <x v="4"/>
    <x v="21"/>
    <x v="55"/>
    <x v="3"/>
    <x v="44"/>
    <x v="3"/>
  </r>
  <r>
    <x v="92"/>
    <x v="1"/>
    <x v="1"/>
    <x v="3"/>
    <x v="1"/>
    <x v="4"/>
    <x v="21"/>
    <x v="56"/>
    <x v="15"/>
    <x v="45"/>
    <x v="3"/>
  </r>
  <r>
    <x v="93"/>
    <x v="4"/>
    <x v="4"/>
    <x v="1"/>
    <x v="4"/>
    <x v="2"/>
    <x v="19"/>
    <x v="57"/>
    <x v="11"/>
    <x v="1"/>
    <x v="3"/>
  </r>
  <r>
    <x v="94"/>
    <x v="1"/>
    <x v="2"/>
    <x v="0"/>
    <x v="1"/>
    <x v="1"/>
    <x v="1"/>
    <x v="24"/>
    <x v="3"/>
    <x v="21"/>
    <x v="3"/>
  </r>
  <r>
    <x v="95"/>
    <x v="2"/>
    <x v="1"/>
    <x v="2"/>
    <x v="2"/>
    <x v="3"/>
    <x v="3"/>
    <x v="35"/>
    <x v="6"/>
    <x v="30"/>
    <x v="3"/>
  </r>
  <r>
    <x v="96"/>
    <x v="1"/>
    <x v="1"/>
    <x v="1"/>
    <x v="1"/>
    <x v="4"/>
    <x v="21"/>
    <x v="42"/>
    <x v="1"/>
    <x v="35"/>
    <x v="3"/>
  </r>
  <r>
    <x v="97"/>
    <x v="3"/>
    <x v="3"/>
    <x v="1"/>
    <x v="3"/>
    <x v="1"/>
    <x v="8"/>
    <x v="41"/>
    <x v="13"/>
    <x v="34"/>
    <x v="3"/>
  </r>
  <r>
    <x v="98"/>
    <x v="1"/>
    <x v="2"/>
    <x v="3"/>
    <x v="1"/>
    <x v="3"/>
    <x v="23"/>
    <x v="58"/>
    <x v="15"/>
    <x v="39"/>
    <x v="3"/>
  </r>
  <r>
    <x v="99"/>
    <x v="2"/>
    <x v="3"/>
    <x v="0"/>
    <x v="2"/>
    <x v="1"/>
    <x v="6"/>
    <x v="20"/>
    <x v="4"/>
    <x v="18"/>
    <x v="3"/>
  </r>
  <r>
    <x v="100"/>
    <x v="3"/>
    <x v="2"/>
    <x v="0"/>
    <x v="3"/>
    <x v="0"/>
    <x v="13"/>
    <x v="59"/>
    <x v="7"/>
    <x v="46"/>
    <x v="3"/>
  </r>
  <r>
    <x v="101"/>
    <x v="1"/>
    <x v="0"/>
    <x v="0"/>
    <x v="1"/>
    <x v="1"/>
    <x v="1"/>
    <x v="24"/>
    <x v="3"/>
    <x v="21"/>
    <x v="3"/>
  </r>
  <r>
    <x v="102"/>
    <x v="0"/>
    <x v="3"/>
    <x v="2"/>
    <x v="0"/>
    <x v="4"/>
    <x v="18"/>
    <x v="8"/>
    <x v="4"/>
    <x v="8"/>
    <x v="3"/>
  </r>
  <r>
    <x v="103"/>
    <x v="1"/>
    <x v="3"/>
    <x v="2"/>
    <x v="1"/>
    <x v="3"/>
    <x v="23"/>
    <x v="60"/>
    <x v="12"/>
    <x v="47"/>
    <x v="3"/>
  </r>
  <r>
    <x v="104"/>
    <x v="0"/>
    <x v="1"/>
    <x v="3"/>
    <x v="0"/>
    <x v="2"/>
    <x v="17"/>
    <x v="61"/>
    <x v="16"/>
    <x v="48"/>
    <x v="3"/>
  </r>
  <r>
    <x v="105"/>
    <x v="1"/>
    <x v="4"/>
    <x v="3"/>
    <x v="1"/>
    <x v="3"/>
    <x v="23"/>
    <x v="58"/>
    <x v="15"/>
    <x v="39"/>
    <x v="3"/>
  </r>
  <r>
    <x v="106"/>
    <x v="3"/>
    <x v="4"/>
    <x v="3"/>
    <x v="3"/>
    <x v="3"/>
    <x v="16"/>
    <x v="26"/>
    <x v="14"/>
    <x v="0"/>
    <x v="3"/>
  </r>
  <r>
    <x v="107"/>
    <x v="3"/>
    <x v="4"/>
    <x v="3"/>
    <x v="3"/>
    <x v="3"/>
    <x v="16"/>
    <x v="26"/>
    <x v="14"/>
    <x v="0"/>
    <x v="3"/>
  </r>
  <r>
    <x v="108"/>
    <x v="2"/>
    <x v="1"/>
    <x v="1"/>
    <x v="2"/>
    <x v="3"/>
    <x v="3"/>
    <x v="62"/>
    <x v="8"/>
    <x v="49"/>
    <x v="3"/>
  </r>
  <r>
    <x v="109"/>
    <x v="0"/>
    <x v="0"/>
    <x v="0"/>
    <x v="0"/>
    <x v="3"/>
    <x v="20"/>
    <x v="14"/>
    <x v="0"/>
    <x v="14"/>
    <x v="3"/>
  </r>
  <r>
    <x v="110"/>
    <x v="2"/>
    <x v="1"/>
    <x v="2"/>
    <x v="2"/>
    <x v="4"/>
    <x v="7"/>
    <x v="30"/>
    <x v="6"/>
    <x v="26"/>
    <x v="3"/>
  </r>
  <r>
    <x v="111"/>
    <x v="2"/>
    <x v="4"/>
    <x v="1"/>
    <x v="2"/>
    <x v="2"/>
    <x v="9"/>
    <x v="10"/>
    <x v="8"/>
    <x v="10"/>
    <x v="3"/>
  </r>
  <r>
    <x v="112"/>
    <x v="4"/>
    <x v="2"/>
    <x v="1"/>
    <x v="4"/>
    <x v="0"/>
    <x v="15"/>
    <x v="63"/>
    <x v="11"/>
    <x v="34"/>
    <x v="3"/>
  </r>
  <r>
    <x v="113"/>
    <x v="3"/>
    <x v="2"/>
    <x v="3"/>
    <x v="3"/>
    <x v="2"/>
    <x v="4"/>
    <x v="51"/>
    <x v="14"/>
    <x v="28"/>
    <x v="3"/>
  </r>
  <r>
    <x v="114"/>
    <x v="0"/>
    <x v="4"/>
    <x v="1"/>
    <x v="0"/>
    <x v="3"/>
    <x v="20"/>
    <x v="64"/>
    <x v="2"/>
    <x v="50"/>
    <x v="3"/>
  </r>
  <r>
    <x v="115"/>
    <x v="2"/>
    <x v="1"/>
    <x v="1"/>
    <x v="2"/>
    <x v="3"/>
    <x v="3"/>
    <x v="62"/>
    <x v="8"/>
    <x v="49"/>
    <x v="3"/>
  </r>
  <r>
    <x v="116"/>
    <x v="3"/>
    <x v="0"/>
    <x v="0"/>
    <x v="3"/>
    <x v="4"/>
    <x v="22"/>
    <x v="50"/>
    <x v="7"/>
    <x v="40"/>
    <x v="3"/>
  </r>
  <r>
    <x v="117"/>
    <x v="2"/>
    <x v="0"/>
    <x v="3"/>
    <x v="2"/>
    <x v="3"/>
    <x v="3"/>
    <x v="14"/>
    <x v="0"/>
    <x v="14"/>
    <x v="3"/>
  </r>
  <r>
    <x v="118"/>
    <x v="1"/>
    <x v="4"/>
    <x v="1"/>
    <x v="1"/>
    <x v="1"/>
    <x v="1"/>
    <x v="1"/>
    <x v="1"/>
    <x v="1"/>
    <x v="3"/>
  </r>
  <r>
    <x v="119"/>
    <x v="4"/>
    <x v="4"/>
    <x v="3"/>
    <x v="4"/>
    <x v="4"/>
    <x v="12"/>
    <x v="54"/>
    <x v="9"/>
    <x v="43"/>
    <x v="3"/>
  </r>
  <r>
    <x v="120"/>
    <x v="1"/>
    <x v="0"/>
    <x v="1"/>
    <x v="1"/>
    <x v="2"/>
    <x v="2"/>
    <x v="52"/>
    <x v="1"/>
    <x v="41"/>
    <x v="4"/>
  </r>
  <r>
    <x v="121"/>
    <x v="3"/>
    <x v="2"/>
    <x v="2"/>
    <x v="3"/>
    <x v="2"/>
    <x v="4"/>
    <x v="5"/>
    <x v="5"/>
    <x v="5"/>
    <x v="4"/>
  </r>
  <r>
    <x v="122"/>
    <x v="4"/>
    <x v="0"/>
    <x v="2"/>
    <x v="4"/>
    <x v="1"/>
    <x v="24"/>
    <x v="65"/>
    <x v="17"/>
    <x v="51"/>
    <x v="4"/>
  </r>
  <r>
    <x v="123"/>
    <x v="0"/>
    <x v="4"/>
    <x v="1"/>
    <x v="0"/>
    <x v="3"/>
    <x v="20"/>
    <x v="64"/>
    <x v="2"/>
    <x v="50"/>
    <x v="4"/>
  </r>
  <r>
    <x v="124"/>
    <x v="3"/>
    <x v="4"/>
    <x v="2"/>
    <x v="3"/>
    <x v="3"/>
    <x v="16"/>
    <x v="44"/>
    <x v="5"/>
    <x v="25"/>
    <x v="4"/>
  </r>
  <r>
    <x v="125"/>
    <x v="3"/>
    <x v="4"/>
    <x v="2"/>
    <x v="3"/>
    <x v="4"/>
    <x v="22"/>
    <x v="66"/>
    <x v="5"/>
    <x v="52"/>
    <x v="4"/>
  </r>
  <r>
    <x v="126"/>
    <x v="2"/>
    <x v="4"/>
    <x v="1"/>
    <x v="2"/>
    <x v="1"/>
    <x v="6"/>
    <x v="11"/>
    <x v="8"/>
    <x v="11"/>
    <x v="4"/>
  </r>
  <r>
    <x v="127"/>
    <x v="1"/>
    <x v="3"/>
    <x v="3"/>
    <x v="1"/>
    <x v="2"/>
    <x v="2"/>
    <x v="43"/>
    <x v="15"/>
    <x v="36"/>
    <x v="4"/>
  </r>
  <r>
    <x v="128"/>
    <x v="3"/>
    <x v="3"/>
    <x v="3"/>
    <x v="3"/>
    <x v="2"/>
    <x v="4"/>
    <x v="51"/>
    <x v="14"/>
    <x v="28"/>
    <x v="4"/>
  </r>
  <r>
    <x v="129"/>
    <x v="4"/>
    <x v="4"/>
    <x v="1"/>
    <x v="4"/>
    <x v="1"/>
    <x v="24"/>
    <x v="67"/>
    <x v="11"/>
    <x v="53"/>
    <x v="4"/>
  </r>
  <r>
    <x v="130"/>
    <x v="0"/>
    <x v="2"/>
    <x v="2"/>
    <x v="0"/>
    <x v="1"/>
    <x v="10"/>
    <x v="20"/>
    <x v="4"/>
    <x v="18"/>
    <x v="4"/>
  </r>
  <r>
    <x v="131"/>
    <x v="4"/>
    <x v="1"/>
    <x v="0"/>
    <x v="4"/>
    <x v="1"/>
    <x v="24"/>
    <x v="68"/>
    <x v="10"/>
    <x v="54"/>
    <x v="4"/>
  </r>
  <r>
    <x v="132"/>
    <x v="1"/>
    <x v="3"/>
    <x v="2"/>
    <x v="1"/>
    <x v="1"/>
    <x v="1"/>
    <x v="18"/>
    <x v="12"/>
    <x v="16"/>
    <x v="4"/>
  </r>
  <r>
    <x v="133"/>
    <x v="3"/>
    <x v="4"/>
    <x v="2"/>
    <x v="3"/>
    <x v="0"/>
    <x v="13"/>
    <x v="69"/>
    <x v="5"/>
    <x v="55"/>
    <x v="4"/>
  </r>
  <r>
    <x v="134"/>
    <x v="4"/>
    <x v="2"/>
    <x v="2"/>
    <x v="4"/>
    <x v="0"/>
    <x v="15"/>
    <x v="70"/>
    <x v="17"/>
    <x v="27"/>
    <x v="4"/>
  </r>
  <r>
    <x v="135"/>
    <x v="2"/>
    <x v="0"/>
    <x v="0"/>
    <x v="2"/>
    <x v="2"/>
    <x v="9"/>
    <x v="28"/>
    <x v="4"/>
    <x v="24"/>
    <x v="4"/>
  </r>
  <r>
    <x v="136"/>
    <x v="2"/>
    <x v="1"/>
    <x v="1"/>
    <x v="2"/>
    <x v="4"/>
    <x v="7"/>
    <x v="25"/>
    <x v="8"/>
    <x v="22"/>
    <x v="4"/>
  </r>
  <r>
    <x v="137"/>
    <x v="3"/>
    <x v="3"/>
    <x v="0"/>
    <x v="3"/>
    <x v="2"/>
    <x v="4"/>
    <x v="71"/>
    <x v="7"/>
    <x v="37"/>
    <x v="4"/>
  </r>
  <r>
    <x v="138"/>
    <x v="2"/>
    <x v="1"/>
    <x v="0"/>
    <x v="2"/>
    <x v="2"/>
    <x v="9"/>
    <x v="28"/>
    <x v="4"/>
    <x v="24"/>
    <x v="4"/>
  </r>
  <r>
    <x v="139"/>
    <x v="4"/>
    <x v="3"/>
    <x v="2"/>
    <x v="4"/>
    <x v="3"/>
    <x v="11"/>
    <x v="46"/>
    <x v="17"/>
    <x v="6"/>
    <x v="4"/>
  </r>
  <r>
    <x v="140"/>
    <x v="4"/>
    <x v="1"/>
    <x v="2"/>
    <x v="4"/>
    <x v="1"/>
    <x v="24"/>
    <x v="65"/>
    <x v="17"/>
    <x v="51"/>
    <x v="4"/>
  </r>
  <r>
    <x v="141"/>
    <x v="1"/>
    <x v="0"/>
    <x v="0"/>
    <x v="1"/>
    <x v="1"/>
    <x v="1"/>
    <x v="24"/>
    <x v="3"/>
    <x v="21"/>
    <x v="4"/>
  </r>
  <r>
    <x v="142"/>
    <x v="1"/>
    <x v="4"/>
    <x v="0"/>
    <x v="1"/>
    <x v="3"/>
    <x v="23"/>
    <x v="72"/>
    <x v="3"/>
    <x v="24"/>
    <x v="4"/>
  </r>
  <r>
    <x v="143"/>
    <x v="1"/>
    <x v="2"/>
    <x v="0"/>
    <x v="1"/>
    <x v="2"/>
    <x v="2"/>
    <x v="3"/>
    <x v="3"/>
    <x v="3"/>
    <x v="4"/>
  </r>
  <r>
    <x v="144"/>
    <x v="0"/>
    <x v="3"/>
    <x v="3"/>
    <x v="0"/>
    <x v="0"/>
    <x v="0"/>
    <x v="73"/>
    <x v="16"/>
    <x v="56"/>
    <x v="4"/>
  </r>
  <r>
    <x v="145"/>
    <x v="4"/>
    <x v="3"/>
    <x v="0"/>
    <x v="4"/>
    <x v="4"/>
    <x v="12"/>
    <x v="16"/>
    <x v="10"/>
    <x v="15"/>
    <x v="4"/>
  </r>
  <r>
    <x v="146"/>
    <x v="0"/>
    <x v="0"/>
    <x v="3"/>
    <x v="0"/>
    <x v="4"/>
    <x v="18"/>
    <x v="53"/>
    <x v="16"/>
    <x v="42"/>
    <x v="4"/>
  </r>
  <r>
    <x v="147"/>
    <x v="1"/>
    <x v="2"/>
    <x v="0"/>
    <x v="1"/>
    <x v="4"/>
    <x v="21"/>
    <x v="55"/>
    <x v="3"/>
    <x v="44"/>
    <x v="4"/>
  </r>
  <r>
    <x v="148"/>
    <x v="0"/>
    <x v="2"/>
    <x v="2"/>
    <x v="0"/>
    <x v="3"/>
    <x v="20"/>
    <x v="4"/>
    <x v="4"/>
    <x v="4"/>
    <x v="4"/>
  </r>
  <r>
    <x v="149"/>
    <x v="4"/>
    <x v="3"/>
    <x v="0"/>
    <x v="4"/>
    <x v="1"/>
    <x v="24"/>
    <x v="68"/>
    <x v="10"/>
    <x v="54"/>
    <x v="4"/>
  </r>
  <r>
    <x v="150"/>
    <x v="1"/>
    <x v="1"/>
    <x v="0"/>
    <x v="1"/>
    <x v="2"/>
    <x v="2"/>
    <x v="3"/>
    <x v="3"/>
    <x v="3"/>
    <x v="4"/>
  </r>
  <r>
    <x v="151"/>
    <x v="1"/>
    <x v="0"/>
    <x v="2"/>
    <x v="1"/>
    <x v="3"/>
    <x v="23"/>
    <x v="60"/>
    <x v="12"/>
    <x v="47"/>
    <x v="5"/>
  </r>
  <r>
    <x v="152"/>
    <x v="0"/>
    <x v="2"/>
    <x v="0"/>
    <x v="0"/>
    <x v="0"/>
    <x v="0"/>
    <x v="0"/>
    <x v="0"/>
    <x v="0"/>
    <x v="5"/>
  </r>
  <r>
    <x v="153"/>
    <x v="3"/>
    <x v="1"/>
    <x v="2"/>
    <x v="3"/>
    <x v="1"/>
    <x v="8"/>
    <x v="32"/>
    <x v="5"/>
    <x v="27"/>
    <x v="5"/>
  </r>
  <r>
    <x v="154"/>
    <x v="2"/>
    <x v="3"/>
    <x v="0"/>
    <x v="2"/>
    <x v="1"/>
    <x v="6"/>
    <x v="20"/>
    <x v="4"/>
    <x v="18"/>
    <x v="5"/>
  </r>
  <r>
    <x v="155"/>
    <x v="0"/>
    <x v="1"/>
    <x v="1"/>
    <x v="0"/>
    <x v="0"/>
    <x v="0"/>
    <x v="2"/>
    <x v="2"/>
    <x v="2"/>
    <x v="5"/>
  </r>
  <r>
    <x v="156"/>
    <x v="0"/>
    <x v="0"/>
    <x v="2"/>
    <x v="0"/>
    <x v="4"/>
    <x v="18"/>
    <x v="8"/>
    <x v="4"/>
    <x v="8"/>
    <x v="5"/>
  </r>
  <r>
    <x v="157"/>
    <x v="2"/>
    <x v="2"/>
    <x v="1"/>
    <x v="2"/>
    <x v="1"/>
    <x v="6"/>
    <x v="11"/>
    <x v="8"/>
    <x v="11"/>
    <x v="5"/>
  </r>
  <r>
    <x v="158"/>
    <x v="1"/>
    <x v="2"/>
    <x v="1"/>
    <x v="1"/>
    <x v="3"/>
    <x v="23"/>
    <x v="74"/>
    <x v="1"/>
    <x v="10"/>
    <x v="5"/>
  </r>
  <r>
    <x v="159"/>
    <x v="1"/>
    <x v="3"/>
    <x v="2"/>
    <x v="1"/>
    <x v="4"/>
    <x v="21"/>
    <x v="75"/>
    <x v="12"/>
    <x v="57"/>
    <x v="5"/>
  </r>
  <r>
    <x v="160"/>
    <x v="1"/>
    <x v="0"/>
    <x v="3"/>
    <x v="1"/>
    <x v="0"/>
    <x v="14"/>
    <x v="33"/>
    <x v="15"/>
    <x v="28"/>
    <x v="5"/>
  </r>
  <r>
    <x v="161"/>
    <x v="4"/>
    <x v="0"/>
    <x v="3"/>
    <x v="4"/>
    <x v="4"/>
    <x v="12"/>
    <x v="54"/>
    <x v="9"/>
    <x v="43"/>
    <x v="5"/>
  </r>
  <r>
    <x v="162"/>
    <x v="1"/>
    <x v="1"/>
    <x v="3"/>
    <x v="1"/>
    <x v="0"/>
    <x v="14"/>
    <x v="33"/>
    <x v="15"/>
    <x v="28"/>
    <x v="5"/>
  </r>
  <r>
    <x v="163"/>
    <x v="1"/>
    <x v="4"/>
    <x v="0"/>
    <x v="1"/>
    <x v="2"/>
    <x v="2"/>
    <x v="3"/>
    <x v="3"/>
    <x v="3"/>
    <x v="5"/>
  </r>
  <r>
    <x v="164"/>
    <x v="4"/>
    <x v="2"/>
    <x v="3"/>
    <x v="4"/>
    <x v="2"/>
    <x v="19"/>
    <x v="48"/>
    <x v="9"/>
    <x v="38"/>
    <x v="5"/>
  </r>
  <r>
    <x v="165"/>
    <x v="4"/>
    <x v="4"/>
    <x v="0"/>
    <x v="4"/>
    <x v="1"/>
    <x v="24"/>
    <x v="68"/>
    <x v="10"/>
    <x v="54"/>
    <x v="5"/>
  </r>
  <r>
    <x v="166"/>
    <x v="2"/>
    <x v="3"/>
    <x v="3"/>
    <x v="2"/>
    <x v="3"/>
    <x v="3"/>
    <x v="14"/>
    <x v="0"/>
    <x v="14"/>
    <x v="5"/>
  </r>
  <r>
    <x v="167"/>
    <x v="3"/>
    <x v="2"/>
    <x v="0"/>
    <x v="3"/>
    <x v="2"/>
    <x v="4"/>
    <x v="71"/>
    <x v="7"/>
    <x v="37"/>
    <x v="5"/>
  </r>
  <r>
    <x v="168"/>
    <x v="1"/>
    <x v="4"/>
    <x v="3"/>
    <x v="1"/>
    <x v="2"/>
    <x v="2"/>
    <x v="43"/>
    <x v="15"/>
    <x v="36"/>
    <x v="5"/>
  </r>
  <r>
    <x v="169"/>
    <x v="2"/>
    <x v="0"/>
    <x v="1"/>
    <x v="2"/>
    <x v="4"/>
    <x v="7"/>
    <x v="25"/>
    <x v="8"/>
    <x v="22"/>
    <x v="5"/>
  </r>
  <r>
    <x v="170"/>
    <x v="0"/>
    <x v="1"/>
    <x v="0"/>
    <x v="0"/>
    <x v="1"/>
    <x v="10"/>
    <x v="7"/>
    <x v="0"/>
    <x v="7"/>
    <x v="5"/>
  </r>
  <r>
    <x v="171"/>
    <x v="4"/>
    <x v="3"/>
    <x v="2"/>
    <x v="4"/>
    <x v="0"/>
    <x v="15"/>
    <x v="70"/>
    <x v="17"/>
    <x v="27"/>
    <x v="5"/>
  </r>
  <r>
    <x v="172"/>
    <x v="4"/>
    <x v="3"/>
    <x v="1"/>
    <x v="4"/>
    <x v="3"/>
    <x v="11"/>
    <x v="17"/>
    <x v="11"/>
    <x v="11"/>
    <x v="5"/>
  </r>
  <r>
    <x v="173"/>
    <x v="3"/>
    <x v="4"/>
    <x v="0"/>
    <x v="3"/>
    <x v="1"/>
    <x v="8"/>
    <x v="9"/>
    <x v="7"/>
    <x v="9"/>
    <x v="5"/>
  </r>
  <r>
    <x v="174"/>
    <x v="3"/>
    <x v="4"/>
    <x v="2"/>
    <x v="3"/>
    <x v="2"/>
    <x v="4"/>
    <x v="5"/>
    <x v="5"/>
    <x v="5"/>
    <x v="5"/>
  </r>
  <r>
    <x v="175"/>
    <x v="0"/>
    <x v="1"/>
    <x v="2"/>
    <x v="0"/>
    <x v="2"/>
    <x v="17"/>
    <x v="28"/>
    <x v="4"/>
    <x v="24"/>
    <x v="5"/>
  </r>
  <r>
    <x v="176"/>
    <x v="3"/>
    <x v="1"/>
    <x v="1"/>
    <x v="3"/>
    <x v="0"/>
    <x v="13"/>
    <x v="19"/>
    <x v="13"/>
    <x v="17"/>
    <x v="5"/>
  </r>
  <r>
    <x v="177"/>
    <x v="1"/>
    <x v="4"/>
    <x v="3"/>
    <x v="1"/>
    <x v="4"/>
    <x v="21"/>
    <x v="56"/>
    <x v="15"/>
    <x v="45"/>
    <x v="5"/>
  </r>
  <r>
    <x v="178"/>
    <x v="2"/>
    <x v="4"/>
    <x v="2"/>
    <x v="2"/>
    <x v="0"/>
    <x v="5"/>
    <x v="29"/>
    <x v="6"/>
    <x v="25"/>
    <x v="5"/>
  </r>
  <r>
    <x v="179"/>
    <x v="3"/>
    <x v="2"/>
    <x v="2"/>
    <x v="3"/>
    <x v="3"/>
    <x v="16"/>
    <x v="44"/>
    <x v="5"/>
    <x v="25"/>
    <x v="5"/>
  </r>
  <r>
    <x v="180"/>
    <x v="1"/>
    <x v="1"/>
    <x v="1"/>
    <x v="1"/>
    <x v="2"/>
    <x v="2"/>
    <x v="52"/>
    <x v="1"/>
    <x v="41"/>
    <x v="5"/>
  </r>
  <r>
    <x v="181"/>
    <x v="2"/>
    <x v="1"/>
    <x v="1"/>
    <x v="2"/>
    <x v="3"/>
    <x v="3"/>
    <x v="62"/>
    <x v="8"/>
    <x v="49"/>
    <x v="6"/>
  </r>
  <r>
    <x v="182"/>
    <x v="2"/>
    <x v="0"/>
    <x v="3"/>
    <x v="2"/>
    <x v="1"/>
    <x v="6"/>
    <x v="7"/>
    <x v="0"/>
    <x v="7"/>
    <x v="6"/>
  </r>
  <r>
    <x v="183"/>
    <x v="3"/>
    <x v="3"/>
    <x v="2"/>
    <x v="3"/>
    <x v="3"/>
    <x v="16"/>
    <x v="44"/>
    <x v="5"/>
    <x v="25"/>
    <x v="6"/>
  </r>
  <r>
    <x v="184"/>
    <x v="1"/>
    <x v="3"/>
    <x v="1"/>
    <x v="1"/>
    <x v="1"/>
    <x v="1"/>
    <x v="1"/>
    <x v="1"/>
    <x v="1"/>
    <x v="6"/>
  </r>
  <r>
    <x v="185"/>
    <x v="1"/>
    <x v="3"/>
    <x v="0"/>
    <x v="1"/>
    <x v="2"/>
    <x v="2"/>
    <x v="3"/>
    <x v="3"/>
    <x v="3"/>
    <x v="6"/>
  </r>
  <r>
    <x v="186"/>
    <x v="1"/>
    <x v="0"/>
    <x v="2"/>
    <x v="1"/>
    <x v="1"/>
    <x v="1"/>
    <x v="18"/>
    <x v="12"/>
    <x v="16"/>
    <x v="6"/>
  </r>
  <r>
    <x v="187"/>
    <x v="0"/>
    <x v="4"/>
    <x v="3"/>
    <x v="0"/>
    <x v="1"/>
    <x v="10"/>
    <x v="76"/>
    <x v="16"/>
    <x v="58"/>
    <x v="6"/>
  </r>
  <r>
    <x v="188"/>
    <x v="2"/>
    <x v="1"/>
    <x v="2"/>
    <x v="2"/>
    <x v="1"/>
    <x v="6"/>
    <x v="6"/>
    <x v="6"/>
    <x v="6"/>
    <x v="6"/>
  </r>
  <r>
    <x v="189"/>
    <x v="3"/>
    <x v="1"/>
    <x v="2"/>
    <x v="3"/>
    <x v="2"/>
    <x v="4"/>
    <x v="5"/>
    <x v="5"/>
    <x v="5"/>
    <x v="6"/>
  </r>
  <r>
    <x v="190"/>
    <x v="1"/>
    <x v="2"/>
    <x v="1"/>
    <x v="1"/>
    <x v="2"/>
    <x v="2"/>
    <x v="52"/>
    <x v="1"/>
    <x v="41"/>
    <x v="6"/>
  </r>
  <r>
    <x v="191"/>
    <x v="2"/>
    <x v="1"/>
    <x v="3"/>
    <x v="2"/>
    <x v="3"/>
    <x v="3"/>
    <x v="14"/>
    <x v="0"/>
    <x v="14"/>
    <x v="6"/>
  </r>
  <r>
    <x v="192"/>
    <x v="1"/>
    <x v="3"/>
    <x v="3"/>
    <x v="1"/>
    <x v="1"/>
    <x v="1"/>
    <x v="77"/>
    <x v="15"/>
    <x v="38"/>
    <x v="6"/>
  </r>
  <r>
    <x v="193"/>
    <x v="0"/>
    <x v="2"/>
    <x v="2"/>
    <x v="0"/>
    <x v="1"/>
    <x v="10"/>
    <x v="20"/>
    <x v="4"/>
    <x v="18"/>
    <x v="6"/>
  </r>
  <r>
    <x v="194"/>
    <x v="1"/>
    <x v="4"/>
    <x v="2"/>
    <x v="1"/>
    <x v="2"/>
    <x v="2"/>
    <x v="78"/>
    <x v="12"/>
    <x v="59"/>
    <x v="6"/>
  </r>
  <r>
    <x v="195"/>
    <x v="4"/>
    <x v="3"/>
    <x v="2"/>
    <x v="4"/>
    <x v="2"/>
    <x v="19"/>
    <x v="79"/>
    <x v="17"/>
    <x v="16"/>
    <x v="6"/>
  </r>
  <r>
    <x v="196"/>
    <x v="3"/>
    <x v="4"/>
    <x v="0"/>
    <x v="3"/>
    <x v="3"/>
    <x v="16"/>
    <x v="80"/>
    <x v="7"/>
    <x v="31"/>
    <x v="6"/>
  </r>
  <r>
    <x v="197"/>
    <x v="4"/>
    <x v="4"/>
    <x v="2"/>
    <x v="4"/>
    <x v="2"/>
    <x v="19"/>
    <x v="79"/>
    <x v="17"/>
    <x v="16"/>
    <x v="6"/>
  </r>
  <r>
    <x v="198"/>
    <x v="2"/>
    <x v="2"/>
    <x v="3"/>
    <x v="2"/>
    <x v="1"/>
    <x v="6"/>
    <x v="7"/>
    <x v="0"/>
    <x v="7"/>
    <x v="6"/>
  </r>
  <r>
    <x v="199"/>
    <x v="1"/>
    <x v="1"/>
    <x v="1"/>
    <x v="1"/>
    <x v="3"/>
    <x v="23"/>
    <x v="74"/>
    <x v="1"/>
    <x v="10"/>
    <x v="6"/>
  </r>
  <r>
    <x v="200"/>
    <x v="0"/>
    <x v="4"/>
    <x v="3"/>
    <x v="0"/>
    <x v="4"/>
    <x v="18"/>
    <x v="53"/>
    <x v="16"/>
    <x v="42"/>
    <x v="6"/>
  </r>
  <r>
    <x v="201"/>
    <x v="1"/>
    <x v="0"/>
    <x v="3"/>
    <x v="1"/>
    <x v="3"/>
    <x v="23"/>
    <x v="58"/>
    <x v="15"/>
    <x v="39"/>
    <x v="6"/>
  </r>
  <r>
    <x v="202"/>
    <x v="1"/>
    <x v="3"/>
    <x v="0"/>
    <x v="1"/>
    <x v="1"/>
    <x v="1"/>
    <x v="24"/>
    <x v="3"/>
    <x v="21"/>
    <x v="6"/>
  </r>
  <r>
    <x v="203"/>
    <x v="0"/>
    <x v="3"/>
    <x v="1"/>
    <x v="0"/>
    <x v="0"/>
    <x v="0"/>
    <x v="2"/>
    <x v="2"/>
    <x v="2"/>
    <x v="6"/>
  </r>
  <r>
    <x v="204"/>
    <x v="1"/>
    <x v="1"/>
    <x v="3"/>
    <x v="1"/>
    <x v="0"/>
    <x v="14"/>
    <x v="33"/>
    <x v="15"/>
    <x v="28"/>
    <x v="6"/>
  </r>
  <r>
    <x v="205"/>
    <x v="4"/>
    <x v="2"/>
    <x v="0"/>
    <x v="4"/>
    <x v="4"/>
    <x v="12"/>
    <x v="16"/>
    <x v="10"/>
    <x v="15"/>
    <x v="6"/>
  </r>
  <r>
    <x v="206"/>
    <x v="0"/>
    <x v="3"/>
    <x v="1"/>
    <x v="0"/>
    <x v="4"/>
    <x v="18"/>
    <x v="34"/>
    <x v="2"/>
    <x v="29"/>
    <x v="6"/>
  </r>
  <r>
    <x v="207"/>
    <x v="2"/>
    <x v="3"/>
    <x v="3"/>
    <x v="2"/>
    <x v="0"/>
    <x v="5"/>
    <x v="0"/>
    <x v="0"/>
    <x v="0"/>
    <x v="6"/>
  </r>
  <r>
    <x v="208"/>
    <x v="3"/>
    <x v="2"/>
    <x v="3"/>
    <x v="3"/>
    <x v="2"/>
    <x v="4"/>
    <x v="51"/>
    <x v="14"/>
    <x v="28"/>
    <x v="6"/>
  </r>
  <r>
    <x v="209"/>
    <x v="4"/>
    <x v="3"/>
    <x v="0"/>
    <x v="4"/>
    <x v="0"/>
    <x v="15"/>
    <x v="81"/>
    <x v="10"/>
    <x v="9"/>
    <x v="6"/>
  </r>
  <r>
    <x v="210"/>
    <x v="3"/>
    <x v="3"/>
    <x v="1"/>
    <x v="3"/>
    <x v="1"/>
    <x v="8"/>
    <x v="41"/>
    <x v="13"/>
    <x v="34"/>
    <x v="6"/>
  </r>
  <r>
    <x v="211"/>
    <x v="0"/>
    <x v="4"/>
    <x v="2"/>
    <x v="0"/>
    <x v="3"/>
    <x v="20"/>
    <x v="4"/>
    <x v="4"/>
    <x v="4"/>
    <x v="6"/>
  </r>
  <r>
    <x v="212"/>
    <x v="0"/>
    <x v="4"/>
    <x v="2"/>
    <x v="0"/>
    <x v="4"/>
    <x v="18"/>
    <x v="8"/>
    <x v="4"/>
    <x v="8"/>
    <x v="7"/>
  </r>
  <r>
    <x v="213"/>
    <x v="3"/>
    <x v="1"/>
    <x v="2"/>
    <x v="3"/>
    <x v="4"/>
    <x v="22"/>
    <x v="66"/>
    <x v="5"/>
    <x v="52"/>
    <x v="7"/>
  </r>
  <r>
    <x v="214"/>
    <x v="4"/>
    <x v="4"/>
    <x v="1"/>
    <x v="4"/>
    <x v="4"/>
    <x v="12"/>
    <x v="82"/>
    <x v="11"/>
    <x v="60"/>
    <x v="7"/>
  </r>
  <r>
    <x v="215"/>
    <x v="3"/>
    <x v="1"/>
    <x v="1"/>
    <x v="3"/>
    <x v="3"/>
    <x v="16"/>
    <x v="83"/>
    <x v="13"/>
    <x v="23"/>
    <x v="7"/>
  </r>
  <r>
    <x v="216"/>
    <x v="3"/>
    <x v="1"/>
    <x v="3"/>
    <x v="3"/>
    <x v="1"/>
    <x v="8"/>
    <x v="45"/>
    <x v="14"/>
    <x v="20"/>
    <x v="7"/>
  </r>
  <r>
    <x v="217"/>
    <x v="2"/>
    <x v="0"/>
    <x v="2"/>
    <x v="2"/>
    <x v="2"/>
    <x v="9"/>
    <x v="84"/>
    <x v="6"/>
    <x v="47"/>
    <x v="7"/>
  </r>
  <r>
    <x v="218"/>
    <x v="2"/>
    <x v="1"/>
    <x v="1"/>
    <x v="2"/>
    <x v="4"/>
    <x v="7"/>
    <x v="25"/>
    <x v="8"/>
    <x v="22"/>
    <x v="7"/>
  </r>
  <r>
    <x v="219"/>
    <x v="1"/>
    <x v="2"/>
    <x v="2"/>
    <x v="1"/>
    <x v="1"/>
    <x v="1"/>
    <x v="18"/>
    <x v="12"/>
    <x v="16"/>
    <x v="7"/>
  </r>
  <r>
    <x v="220"/>
    <x v="4"/>
    <x v="3"/>
    <x v="3"/>
    <x v="4"/>
    <x v="2"/>
    <x v="19"/>
    <x v="48"/>
    <x v="9"/>
    <x v="38"/>
    <x v="7"/>
  </r>
  <r>
    <x v="221"/>
    <x v="3"/>
    <x v="0"/>
    <x v="2"/>
    <x v="3"/>
    <x v="0"/>
    <x v="13"/>
    <x v="69"/>
    <x v="5"/>
    <x v="55"/>
    <x v="7"/>
  </r>
  <r>
    <x v="222"/>
    <x v="2"/>
    <x v="4"/>
    <x v="0"/>
    <x v="2"/>
    <x v="0"/>
    <x v="5"/>
    <x v="37"/>
    <x v="4"/>
    <x v="31"/>
    <x v="7"/>
  </r>
  <r>
    <x v="223"/>
    <x v="3"/>
    <x v="0"/>
    <x v="3"/>
    <x v="3"/>
    <x v="3"/>
    <x v="16"/>
    <x v="26"/>
    <x v="14"/>
    <x v="0"/>
    <x v="7"/>
  </r>
  <r>
    <x v="224"/>
    <x v="4"/>
    <x v="3"/>
    <x v="2"/>
    <x v="4"/>
    <x v="2"/>
    <x v="19"/>
    <x v="79"/>
    <x v="17"/>
    <x v="16"/>
    <x v="7"/>
  </r>
  <r>
    <x v="225"/>
    <x v="4"/>
    <x v="2"/>
    <x v="3"/>
    <x v="4"/>
    <x v="0"/>
    <x v="15"/>
    <x v="23"/>
    <x v="9"/>
    <x v="20"/>
    <x v="7"/>
  </r>
  <r>
    <x v="226"/>
    <x v="0"/>
    <x v="3"/>
    <x v="3"/>
    <x v="0"/>
    <x v="4"/>
    <x v="18"/>
    <x v="53"/>
    <x v="16"/>
    <x v="42"/>
    <x v="7"/>
  </r>
  <r>
    <x v="227"/>
    <x v="4"/>
    <x v="1"/>
    <x v="0"/>
    <x v="4"/>
    <x v="0"/>
    <x v="15"/>
    <x v="81"/>
    <x v="10"/>
    <x v="9"/>
    <x v="7"/>
  </r>
  <r>
    <x v="228"/>
    <x v="3"/>
    <x v="0"/>
    <x v="3"/>
    <x v="3"/>
    <x v="4"/>
    <x v="22"/>
    <x v="85"/>
    <x v="14"/>
    <x v="61"/>
    <x v="7"/>
  </r>
  <r>
    <x v="229"/>
    <x v="0"/>
    <x v="0"/>
    <x v="2"/>
    <x v="0"/>
    <x v="1"/>
    <x v="10"/>
    <x v="20"/>
    <x v="4"/>
    <x v="18"/>
    <x v="7"/>
  </r>
  <r>
    <x v="230"/>
    <x v="2"/>
    <x v="4"/>
    <x v="0"/>
    <x v="2"/>
    <x v="3"/>
    <x v="3"/>
    <x v="4"/>
    <x v="4"/>
    <x v="4"/>
    <x v="7"/>
  </r>
  <r>
    <x v="231"/>
    <x v="2"/>
    <x v="2"/>
    <x v="1"/>
    <x v="2"/>
    <x v="1"/>
    <x v="6"/>
    <x v="11"/>
    <x v="8"/>
    <x v="11"/>
    <x v="7"/>
  </r>
  <r>
    <x v="232"/>
    <x v="3"/>
    <x v="2"/>
    <x v="2"/>
    <x v="3"/>
    <x v="1"/>
    <x v="8"/>
    <x v="32"/>
    <x v="5"/>
    <x v="27"/>
    <x v="7"/>
  </r>
  <r>
    <x v="233"/>
    <x v="1"/>
    <x v="4"/>
    <x v="2"/>
    <x v="1"/>
    <x v="2"/>
    <x v="2"/>
    <x v="78"/>
    <x v="12"/>
    <x v="59"/>
    <x v="7"/>
  </r>
  <r>
    <x v="234"/>
    <x v="3"/>
    <x v="2"/>
    <x v="0"/>
    <x v="3"/>
    <x v="2"/>
    <x v="4"/>
    <x v="71"/>
    <x v="7"/>
    <x v="37"/>
    <x v="7"/>
  </r>
  <r>
    <x v="235"/>
    <x v="4"/>
    <x v="4"/>
    <x v="0"/>
    <x v="4"/>
    <x v="2"/>
    <x v="19"/>
    <x v="36"/>
    <x v="10"/>
    <x v="21"/>
    <x v="7"/>
  </r>
  <r>
    <x v="236"/>
    <x v="0"/>
    <x v="4"/>
    <x v="1"/>
    <x v="0"/>
    <x v="3"/>
    <x v="20"/>
    <x v="64"/>
    <x v="2"/>
    <x v="50"/>
    <x v="7"/>
  </r>
  <r>
    <x v="237"/>
    <x v="2"/>
    <x v="1"/>
    <x v="0"/>
    <x v="2"/>
    <x v="3"/>
    <x v="3"/>
    <x v="4"/>
    <x v="4"/>
    <x v="4"/>
    <x v="7"/>
  </r>
  <r>
    <x v="238"/>
    <x v="2"/>
    <x v="4"/>
    <x v="3"/>
    <x v="2"/>
    <x v="0"/>
    <x v="5"/>
    <x v="0"/>
    <x v="0"/>
    <x v="0"/>
    <x v="7"/>
  </r>
  <r>
    <x v="239"/>
    <x v="4"/>
    <x v="4"/>
    <x v="3"/>
    <x v="4"/>
    <x v="4"/>
    <x v="12"/>
    <x v="54"/>
    <x v="9"/>
    <x v="43"/>
    <x v="7"/>
  </r>
  <r>
    <x v="240"/>
    <x v="0"/>
    <x v="4"/>
    <x v="3"/>
    <x v="0"/>
    <x v="2"/>
    <x v="17"/>
    <x v="61"/>
    <x v="16"/>
    <x v="48"/>
    <x v="7"/>
  </r>
  <r>
    <x v="241"/>
    <x v="4"/>
    <x v="0"/>
    <x v="3"/>
    <x v="4"/>
    <x v="1"/>
    <x v="24"/>
    <x v="86"/>
    <x v="9"/>
    <x v="62"/>
    <x v="7"/>
  </r>
  <r>
    <x v="242"/>
    <x v="3"/>
    <x v="0"/>
    <x v="0"/>
    <x v="3"/>
    <x v="4"/>
    <x v="22"/>
    <x v="50"/>
    <x v="7"/>
    <x v="40"/>
    <x v="7"/>
  </r>
  <r>
    <x v="243"/>
    <x v="0"/>
    <x v="0"/>
    <x v="2"/>
    <x v="0"/>
    <x v="3"/>
    <x v="20"/>
    <x v="4"/>
    <x v="4"/>
    <x v="4"/>
    <x v="8"/>
  </r>
  <r>
    <x v="244"/>
    <x v="4"/>
    <x v="4"/>
    <x v="2"/>
    <x v="4"/>
    <x v="4"/>
    <x v="12"/>
    <x v="87"/>
    <x v="17"/>
    <x v="63"/>
    <x v="8"/>
  </r>
  <r>
    <x v="245"/>
    <x v="4"/>
    <x v="0"/>
    <x v="3"/>
    <x v="4"/>
    <x v="3"/>
    <x v="11"/>
    <x v="15"/>
    <x v="9"/>
    <x v="7"/>
    <x v="8"/>
  </r>
  <r>
    <x v="246"/>
    <x v="1"/>
    <x v="4"/>
    <x v="2"/>
    <x v="1"/>
    <x v="3"/>
    <x v="23"/>
    <x v="60"/>
    <x v="12"/>
    <x v="47"/>
    <x v="8"/>
  </r>
  <r>
    <x v="247"/>
    <x v="2"/>
    <x v="0"/>
    <x v="1"/>
    <x v="2"/>
    <x v="2"/>
    <x v="9"/>
    <x v="10"/>
    <x v="8"/>
    <x v="10"/>
    <x v="8"/>
  </r>
  <r>
    <x v="248"/>
    <x v="1"/>
    <x v="4"/>
    <x v="0"/>
    <x v="1"/>
    <x v="1"/>
    <x v="1"/>
    <x v="24"/>
    <x v="3"/>
    <x v="21"/>
    <x v="8"/>
  </r>
  <r>
    <x v="249"/>
    <x v="0"/>
    <x v="4"/>
    <x v="2"/>
    <x v="0"/>
    <x v="3"/>
    <x v="20"/>
    <x v="4"/>
    <x v="4"/>
    <x v="4"/>
    <x v="8"/>
  </r>
  <r>
    <x v="250"/>
    <x v="2"/>
    <x v="2"/>
    <x v="3"/>
    <x v="2"/>
    <x v="0"/>
    <x v="5"/>
    <x v="0"/>
    <x v="0"/>
    <x v="0"/>
    <x v="8"/>
  </r>
  <r>
    <x v="251"/>
    <x v="1"/>
    <x v="3"/>
    <x v="1"/>
    <x v="1"/>
    <x v="1"/>
    <x v="1"/>
    <x v="1"/>
    <x v="1"/>
    <x v="1"/>
    <x v="8"/>
  </r>
  <r>
    <x v="252"/>
    <x v="1"/>
    <x v="2"/>
    <x v="1"/>
    <x v="1"/>
    <x v="2"/>
    <x v="2"/>
    <x v="52"/>
    <x v="1"/>
    <x v="41"/>
    <x v="8"/>
  </r>
  <r>
    <x v="253"/>
    <x v="2"/>
    <x v="0"/>
    <x v="0"/>
    <x v="2"/>
    <x v="4"/>
    <x v="7"/>
    <x v="8"/>
    <x v="4"/>
    <x v="8"/>
    <x v="8"/>
  </r>
  <r>
    <x v="254"/>
    <x v="1"/>
    <x v="2"/>
    <x v="1"/>
    <x v="1"/>
    <x v="3"/>
    <x v="23"/>
    <x v="74"/>
    <x v="1"/>
    <x v="10"/>
    <x v="8"/>
  </r>
  <r>
    <x v="255"/>
    <x v="3"/>
    <x v="1"/>
    <x v="2"/>
    <x v="3"/>
    <x v="2"/>
    <x v="4"/>
    <x v="5"/>
    <x v="5"/>
    <x v="5"/>
    <x v="8"/>
  </r>
  <r>
    <x v="256"/>
    <x v="0"/>
    <x v="0"/>
    <x v="0"/>
    <x v="0"/>
    <x v="0"/>
    <x v="0"/>
    <x v="0"/>
    <x v="0"/>
    <x v="0"/>
    <x v="8"/>
  </r>
  <r>
    <x v="257"/>
    <x v="2"/>
    <x v="4"/>
    <x v="3"/>
    <x v="2"/>
    <x v="4"/>
    <x v="7"/>
    <x v="12"/>
    <x v="0"/>
    <x v="12"/>
    <x v="8"/>
  </r>
  <r>
    <x v="258"/>
    <x v="1"/>
    <x v="4"/>
    <x v="0"/>
    <x v="1"/>
    <x v="4"/>
    <x v="21"/>
    <x v="55"/>
    <x v="3"/>
    <x v="44"/>
    <x v="8"/>
  </r>
  <r>
    <x v="259"/>
    <x v="3"/>
    <x v="2"/>
    <x v="0"/>
    <x v="3"/>
    <x v="1"/>
    <x v="8"/>
    <x v="9"/>
    <x v="7"/>
    <x v="9"/>
    <x v="8"/>
  </r>
  <r>
    <x v="260"/>
    <x v="3"/>
    <x v="1"/>
    <x v="1"/>
    <x v="3"/>
    <x v="2"/>
    <x v="4"/>
    <x v="21"/>
    <x v="13"/>
    <x v="19"/>
    <x v="8"/>
  </r>
  <r>
    <x v="261"/>
    <x v="4"/>
    <x v="2"/>
    <x v="3"/>
    <x v="4"/>
    <x v="2"/>
    <x v="19"/>
    <x v="48"/>
    <x v="9"/>
    <x v="38"/>
    <x v="8"/>
  </r>
  <r>
    <x v="262"/>
    <x v="3"/>
    <x v="2"/>
    <x v="0"/>
    <x v="3"/>
    <x v="3"/>
    <x v="16"/>
    <x v="80"/>
    <x v="7"/>
    <x v="31"/>
    <x v="8"/>
  </r>
  <r>
    <x v="263"/>
    <x v="3"/>
    <x v="4"/>
    <x v="3"/>
    <x v="3"/>
    <x v="4"/>
    <x v="22"/>
    <x v="85"/>
    <x v="14"/>
    <x v="61"/>
    <x v="8"/>
  </r>
  <r>
    <x v="264"/>
    <x v="1"/>
    <x v="4"/>
    <x v="3"/>
    <x v="1"/>
    <x v="0"/>
    <x v="14"/>
    <x v="33"/>
    <x v="15"/>
    <x v="28"/>
    <x v="8"/>
  </r>
  <r>
    <x v="265"/>
    <x v="3"/>
    <x v="2"/>
    <x v="0"/>
    <x v="3"/>
    <x v="4"/>
    <x v="22"/>
    <x v="50"/>
    <x v="7"/>
    <x v="40"/>
    <x v="8"/>
  </r>
  <r>
    <x v="266"/>
    <x v="1"/>
    <x v="1"/>
    <x v="1"/>
    <x v="1"/>
    <x v="3"/>
    <x v="23"/>
    <x v="74"/>
    <x v="1"/>
    <x v="10"/>
    <x v="8"/>
  </r>
  <r>
    <x v="267"/>
    <x v="2"/>
    <x v="4"/>
    <x v="2"/>
    <x v="2"/>
    <x v="1"/>
    <x v="6"/>
    <x v="6"/>
    <x v="6"/>
    <x v="6"/>
    <x v="8"/>
  </r>
  <r>
    <x v="268"/>
    <x v="2"/>
    <x v="4"/>
    <x v="0"/>
    <x v="2"/>
    <x v="4"/>
    <x v="7"/>
    <x v="8"/>
    <x v="4"/>
    <x v="8"/>
    <x v="8"/>
  </r>
  <r>
    <x v="269"/>
    <x v="3"/>
    <x v="3"/>
    <x v="0"/>
    <x v="3"/>
    <x v="3"/>
    <x v="16"/>
    <x v="80"/>
    <x v="7"/>
    <x v="31"/>
    <x v="8"/>
  </r>
  <r>
    <x v="270"/>
    <x v="4"/>
    <x v="2"/>
    <x v="0"/>
    <x v="4"/>
    <x v="4"/>
    <x v="12"/>
    <x v="16"/>
    <x v="10"/>
    <x v="15"/>
    <x v="8"/>
  </r>
  <r>
    <x v="271"/>
    <x v="4"/>
    <x v="1"/>
    <x v="1"/>
    <x v="4"/>
    <x v="0"/>
    <x v="15"/>
    <x v="63"/>
    <x v="11"/>
    <x v="34"/>
    <x v="8"/>
  </r>
  <r>
    <x v="272"/>
    <x v="2"/>
    <x v="0"/>
    <x v="1"/>
    <x v="2"/>
    <x v="2"/>
    <x v="9"/>
    <x v="10"/>
    <x v="8"/>
    <x v="10"/>
    <x v="8"/>
  </r>
  <r>
    <x v="273"/>
    <x v="1"/>
    <x v="2"/>
    <x v="3"/>
    <x v="1"/>
    <x v="0"/>
    <x v="14"/>
    <x v="33"/>
    <x v="15"/>
    <x v="28"/>
    <x v="9"/>
  </r>
  <r>
    <x v="274"/>
    <x v="0"/>
    <x v="2"/>
    <x v="0"/>
    <x v="0"/>
    <x v="3"/>
    <x v="20"/>
    <x v="14"/>
    <x v="0"/>
    <x v="14"/>
    <x v="9"/>
  </r>
  <r>
    <x v="275"/>
    <x v="2"/>
    <x v="2"/>
    <x v="1"/>
    <x v="2"/>
    <x v="4"/>
    <x v="7"/>
    <x v="25"/>
    <x v="8"/>
    <x v="22"/>
    <x v="9"/>
  </r>
  <r>
    <x v="276"/>
    <x v="4"/>
    <x v="4"/>
    <x v="3"/>
    <x v="4"/>
    <x v="3"/>
    <x v="11"/>
    <x v="15"/>
    <x v="9"/>
    <x v="7"/>
    <x v="9"/>
  </r>
  <r>
    <x v="277"/>
    <x v="1"/>
    <x v="2"/>
    <x v="2"/>
    <x v="1"/>
    <x v="2"/>
    <x v="2"/>
    <x v="78"/>
    <x v="12"/>
    <x v="59"/>
    <x v="9"/>
  </r>
  <r>
    <x v="278"/>
    <x v="4"/>
    <x v="3"/>
    <x v="1"/>
    <x v="4"/>
    <x v="1"/>
    <x v="24"/>
    <x v="67"/>
    <x v="11"/>
    <x v="53"/>
    <x v="9"/>
  </r>
  <r>
    <x v="279"/>
    <x v="2"/>
    <x v="2"/>
    <x v="1"/>
    <x v="2"/>
    <x v="4"/>
    <x v="7"/>
    <x v="25"/>
    <x v="8"/>
    <x v="22"/>
    <x v="9"/>
  </r>
  <r>
    <x v="280"/>
    <x v="2"/>
    <x v="0"/>
    <x v="2"/>
    <x v="2"/>
    <x v="3"/>
    <x v="3"/>
    <x v="35"/>
    <x v="6"/>
    <x v="30"/>
    <x v="9"/>
  </r>
  <r>
    <x v="281"/>
    <x v="2"/>
    <x v="1"/>
    <x v="0"/>
    <x v="2"/>
    <x v="1"/>
    <x v="6"/>
    <x v="20"/>
    <x v="4"/>
    <x v="18"/>
    <x v="9"/>
  </r>
  <r>
    <x v="282"/>
    <x v="3"/>
    <x v="0"/>
    <x v="1"/>
    <x v="3"/>
    <x v="1"/>
    <x v="8"/>
    <x v="41"/>
    <x v="13"/>
    <x v="34"/>
    <x v="9"/>
  </r>
  <r>
    <x v="283"/>
    <x v="0"/>
    <x v="1"/>
    <x v="0"/>
    <x v="0"/>
    <x v="2"/>
    <x v="17"/>
    <x v="49"/>
    <x v="0"/>
    <x v="39"/>
    <x v="9"/>
  </r>
  <r>
    <x v="284"/>
    <x v="3"/>
    <x v="4"/>
    <x v="2"/>
    <x v="3"/>
    <x v="3"/>
    <x v="16"/>
    <x v="44"/>
    <x v="5"/>
    <x v="25"/>
    <x v="9"/>
  </r>
  <r>
    <x v="285"/>
    <x v="1"/>
    <x v="3"/>
    <x v="0"/>
    <x v="1"/>
    <x v="2"/>
    <x v="2"/>
    <x v="3"/>
    <x v="3"/>
    <x v="3"/>
    <x v="9"/>
  </r>
  <r>
    <x v="286"/>
    <x v="4"/>
    <x v="3"/>
    <x v="2"/>
    <x v="4"/>
    <x v="0"/>
    <x v="15"/>
    <x v="70"/>
    <x v="17"/>
    <x v="27"/>
    <x v="9"/>
  </r>
  <r>
    <x v="287"/>
    <x v="0"/>
    <x v="2"/>
    <x v="0"/>
    <x v="0"/>
    <x v="1"/>
    <x v="10"/>
    <x v="7"/>
    <x v="0"/>
    <x v="7"/>
    <x v="9"/>
  </r>
  <r>
    <x v="288"/>
    <x v="0"/>
    <x v="2"/>
    <x v="2"/>
    <x v="0"/>
    <x v="1"/>
    <x v="10"/>
    <x v="20"/>
    <x v="4"/>
    <x v="18"/>
    <x v="9"/>
  </r>
  <r>
    <x v="289"/>
    <x v="3"/>
    <x v="3"/>
    <x v="3"/>
    <x v="3"/>
    <x v="2"/>
    <x v="4"/>
    <x v="51"/>
    <x v="14"/>
    <x v="28"/>
    <x v="9"/>
  </r>
  <r>
    <x v="290"/>
    <x v="0"/>
    <x v="0"/>
    <x v="1"/>
    <x v="0"/>
    <x v="0"/>
    <x v="0"/>
    <x v="2"/>
    <x v="2"/>
    <x v="2"/>
    <x v="9"/>
  </r>
  <r>
    <x v="291"/>
    <x v="3"/>
    <x v="1"/>
    <x v="0"/>
    <x v="3"/>
    <x v="3"/>
    <x v="16"/>
    <x v="80"/>
    <x v="7"/>
    <x v="31"/>
    <x v="9"/>
  </r>
  <r>
    <x v="292"/>
    <x v="4"/>
    <x v="4"/>
    <x v="0"/>
    <x v="4"/>
    <x v="1"/>
    <x v="24"/>
    <x v="68"/>
    <x v="10"/>
    <x v="54"/>
    <x v="9"/>
  </r>
  <r>
    <x v="293"/>
    <x v="3"/>
    <x v="1"/>
    <x v="2"/>
    <x v="3"/>
    <x v="0"/>
    <x v="13"/>
    <x v="69"/>
    <x v="5"/>
    <x v="55"/>
    <x v="9"/>
  </r>
  <r>
    <x v="294"/>
    <x v="2"/>
    <x v="2"/>
    <x v="0"/>
    <x v="2"/>
    <x v="0"/>
    <x v="5"/>
    <x v="37"/>
    <x v="4"/>
    <x v="31"/>
    <x v="9"/>
  </r>
  <r>
    <x v="295"/>
    <x v="2"/>
    <x v="2"/>
    <x v="1"/>
    <x v="2"/>
    <x v="4"/>
    <x v="7"/>
    <x v="25"/>
    <x v="8"/>
    <x v="22"/>
    <x v="9"/>
  </r>
  <r>
    <x v="296"/>
    <x v="2"/>
    <x v="4"/>
    <x v="0"/>
    <x v="2"/>
    <x v="3"/>
    <x v="3"/>
    <x v="4"/>
    <x v="4"/>
    <x v="4"/>
    <x v="9"/>
  </r>
  <r>
    <x v="297"/>
    <x v="0"/>
    <x v="0"/>
    <x v="3"/>
    <x v="0"/>
    <x v="2"/>
    <x v="17"/>
    <x v="61"/>
    <x v="16"/>
    <x v="48"/>
    <x v="9"/>
  </r>
  <r>
    <x v="298"/>
    <x v="4"/>
    <x v="3"/>
    <x v="3"/>
    <x v="4"/>
    <x v="2"/>
    <x v="19"/>
    <x v="48"/>
    <x v="9"/>
    <x v="38"/>
    <x v="9"/>
  </r>
  <r>
    <x v="299"/>
    <x v="1"/>
    <x v="4"/>
    <x v="1"/>
    <x v="1"/>
    <x v="1"/>
    <x v="1"/>
    <x v="1"/>
    <x v="1"/>
    <x v="1"/>
    <x v="9"/>
  </r>
  <r>
    <x v="300"/>
    <x v="4"/>
    <x v="3"/>
    <x v="0"/>
    <x v="4"/>
    <x v="2"/>
    <x v="19"/>
    <x v="36"/>
    <x v="10"/>
    <x v="21"/>
    <x v="9"/>
  </r>
  <r>
    <x v="301"/>
    <x v="4"/>
    <x v="2"/>
    <x v="0"/>
    <x v="4"/>
    <x v="0"/>
    <x v="15"/>
    <x v="81"/>
    <x v="10"/>
    <x v="9"/>
    <x v="9"/>
  </r>
  <r>
    <x v="302"/>
    <x v="0"/>
    <x v="4"/>
    <x v="3"/>
    <x v="0"/>
    <x v="4"/>
    <x v="18"/>
    <x v="53"/>
    <x v="16"/>
    <x v="42"/>
    <x v="9"/>
  </r>
  <r>
    <x v="303"/>
    <x v="0"/>
    <x v="2"/>
    <x v="3"/>
    <x v="0"/>
    <x v="4"/>
    <x v="18"/>
    <x v="53"/>
    <x v="16"/>
    <x v="42"/>
    <x v="9"/>
  </r>
  <r>
    <x v="304"/>
    <x v="3"/>
    <x v="1"/>
    <x v="3"/>
    <x v="3"/>
    <x v="3"/>
    <x v="16"/>
    <x v="26"/>
    <x v="14"/>
    <x v="0"/>
    <x v="10"/>
  </r>
  <r>
    <x v="305"/>
    <x v="2"/>
    <x v="2"/>
    <x v="0"/>
    <x v="2"/>
    <x v="3"/>
    <x v="3"/>
    <x v="4"/>
    <x v="4"/>
    <x v="4"/>
    <x v="10"/>
  </r>
  <r>
    <x v="306"/>
    <x v="4"/>
    <x v="3"/>
    <x v="2"/>
    <x v="4"/>
    <x v="4"/>
    <x v="12"/>
    <x v="87"/>
    <x v="17"/>
    <x v="63"/>
    <x v="10"/>
  </r>
  <r>
    <x v="307"/>
    <x v="2"/>
    <x v="0"/>
    <x v="2"/>
    <x v="2"/>
    <x v="3"/>
    <x v="3"/>
    <x v="35"/>
    <x v="6"/>
    <x v="30"/>
    <x v="10"/>
  </r>
  <r>
    <x v="308"/>
    <x v="1"/>
    <x v="1"/>
    <x v="0"/>
    <x v="1"/>
    <x v="2"/>
    <x v="2"/>
    <x v="3"/>
    <x v="3"/>
    <x v="3"/>
    <x v="10"/>
  </r>
  <r>
    <x v="309"/>
    <x v="3"/>
    <x v="2"/>
    <x v="2"/>
    <x v="3"/>
    <x v="0"/>
    <x v="13"/>
    <x v="69"/>
    <x v="5"/>
    <x v="55"/>
    <x v="10"/>
  </r>
  <r>
    <x v="310"/>
    <x v="4"/>
    <x v="0"/>
    <x v="1"/>
    <x v="4"/>
    <x v="1"/>
    <x v="24"/>
    <x v="67"/>
    <x v="11"/>
    <x v="53"/>
    <x v="10"/>
  </r>
  <r>
    <x v="311"/>
    <x v="0"/>
    <x v="1"/>
    <x v="1"/>
    <x v="0"/>
    <x v="4"/>
    <x v="18"/>
    <x v="34"/>
    <x v="2"/>
    <x v="29"/>
    <x v="10"/>
  </r>
  <r>
    <x v="312"/>
    <x v="1"/>
    <x v="3"/>
    <x v="0"/>
    <x v="1"/>
    <x v="3"/>
    <x v="23"/>
    <x v="72"/>
    <x v="3"/>
    <x v="24"/>
    <x v="10"/>
  </r>
  <r>
    <x v="313"/>
    <x v="4"/>
    <x v="1"/>
    <x v="0"/>
    <x v="4"/>
    <x v="1"/>
    <x v="24"/>
    <x v="68"/>
    <x v="10"/>
    <x v="54"/>
    <x v="10"/>
  </r>
  <r>
    <x v="314"/>
    <x v="4"/>
    <x v="3"/>
    <x v="1"/>
    <x v="4"/>
    <x v="3"/>
    <x v="11"/>
    <x v="17"/>
    <x v="11"/>
    <x v="11"/>
    <x v="10"/>
  </r>
  <r>
    <x v="315"/>
    <x v="3"/>
    <x v="4"/>
    <x v="0"/>
    <x v="3"/>
    <x v="3"/>
    <x v="16"/>
    <x v="80"/>
    <x v="7"/>
    <x v="31"/>
    <x v="10"/>
  </r>
  <r>
    <x v="316"/>
    <x v="3"/>
    <x v="3"/>
    <x v="2"/>
    <x v="3"/>
    <x v="4"/>
    <x v="22"/>
    <x v="66"/>
    <x v="5"/>
    <x v="52"/>
    <x v="10"/>
  </r>
  <r>
    <x v="317"/>
    <x v="2"/>
    <x v="0"/>
    <x v="0"/>
    <x v="2"/>
    <x v="1"/>
    <x v="6"/>
    <x v="20"/>
    <x v="4"/>
    <x v="18"/>
    <x v="10"/>
  </r>
  <r>
    <x v="318"/>
    <x v="1"/>
    <x v="0"/>
    <x v="3"/>
    <x v="1"/>
    <x v="1"/>
    <x v="1"/>
    <x v="77"/>
    <x v="15"/>
    <x v="38"/>
    <x v="10"/>
  </r>
  <r>
    <x v="319"/>
    <x v="4"/>
    <x v="1"/>
    <x v="3"/>
    <x v="4"/>
    <x v="0"/>
    <x v="15"/>
    <x v="23"/>
    <x v="9"/>
    <x v="20"/>
    <x v="10"/>
  </r>
  <r>
    <x v="320"/>
    <x v="0"/>
    <x v="1"/>
    <x v="3"/>
    <x v="0"/>
    <x v="4"/>
    <x v="18"/>
    <x v="53"/>
    <x v="16"/>
    <x v="42"/>
    <x v="10"/>
  </r>
  <r>
    <x v="321"/>
    <x v="0"/>
    <x v="0"/>
    <x v="0"/>
    <x v="0"/>
    <x v="1"/>
    <x v="10"/>
    <x v="7"/>
    <x v="0"/>
    <x v="7"/>
    <x v="10"/>
  </r>
  <r>
    <x v="322"/>
    <x v="1"/>
    <x v="1"/>
    <x v="3"/>
    <x v="1"/>
    <x v="4"/>
    <x v="21"/>
    <x v="56"/>
    <x v="15"/>
    <x v="45"/>
    <x v="10"/>
  </r>
  <r>
    <x v="323"/>
    <x v="3"/>
    <x v="3"/>
    <x v="2"/>
    <x v="3"/>
    <x v="1"/>
    <x v="8"/>
    <x v="32"/>
    <x v="5"/>
    <x v="27"/>
    <x v="10"/>
  </r>
  <r>
    <x v="324"/>
    <x v="4"/>
    <x v="3"/>
    <x v="1"/>
    <x v="4"/>
    <x v="4"/>
    <x v="12"/>
    <x v="82"/>
    <x v="11"/>
    <x v="60"/>
    <x v="10"/>
  </r>
  <r>
    <x v="325"/>
    <x v="0"/>
    <x v="3"/>
    <x v="1"/>
    <x v="0"/>
    <x v="3"/>
    <x v="20"/>
    <x v="64"/>
    <x v="2"/>
    <x v="50"/>
    <x v="10"/>
  </r>
  <r>
    <x v="326"/>
    <x v="0"/>
    <x v="0"/>
    <x v="3"/>
    <x v="0"/>
    <x v="2"/>
    <x v="17"/>
    <x v="61"/>
    <x v="16"/>
    <x v="48"/>
    <x v="10"/>
  </r>
  <r>
    <x v="327"/>
    <x v="2"/>
    <x v="1"/>
    <x v="3"/>
    <x v="2"/>
    <x v="4"/>
    <x v="7"/>
    <x v="12"/>
    <x v="0"/>
    <x v="12"/>
    <x v="10"/>
  </r>
  <r>
    <x v="328"/>
    <x v="4"/>
    <x v="0"/>
    <x v="1"/>
    <x v="4"/>
    <x v="4"/>
    <x v="12"/>
    <x v="82"/>
    <x v="11"/>
    <x v="60"/>
    <x v="10"/>
  </r>
  <r>
    <x v="329"/>
    <x v="2"/>
    <x v="2"/>
    <x v="0"/>
    <x v="2"/>
    <x v="1"/>
    <x v="6"/>
    <x v="20"/>
    <x v="4"/>
    <x v="18"/>
    <x v="10"/>
  </r>
  <r>
    <x v="330"/>
    <x v="2"/>
    <x v="1"/>
    <x v="3"/>
    <x v="2"/>
    <x v="1"/>
    <x v="6"/>
    <x v="7"/>
    <x v="0"/>
    <x v="7"/>
    <x v="10"/>
  </r>
  <r>
    <x v="331"/>
    <x v="1"/>
    <x v="2"/>
    <x v="0"/>
    <x v="1"/>
    <x v="2"/>
    <x v="2"/>
    <x v="3"/>
    <x v="3"/>
    <x v="3"/>
    <x v="10"/>
  </r>
  <r>
    <x v="332"/>
    <x v="3"/>
    <x v="1"/>
    <x v="0"/>
    <x v="3"/>
    <x v="2"/>
    <x v="4"/>
    <x v="71"/>
    <x v="7"/>
    <x v="37"/>
    <x v="10"/>
  </r>
  <r>
    <x v="333"/>
    <x v="4"/>
    <x v="0"/>
    <x v="2"/>
    <x v="4"/>
    <x v="0"/>
    <x v="15"/>
    <x v="70"/>
    <x v="17"/>
    <x v="27"/>
    <x v="10"/>
  </r>
  <r>
    <x v="334"/>
    <x v="1"/>
    <x v="0"/>
    <x v="3"/>
    <x v="1"/>
    <x v="4"/>
    <x v="21"/>
    <x v="56"/>
    <x v="15"/>
    <x v="45"/>
    <x v="11"/>
  </r>
  <r>
    <x v="335"/>
    <x v="2"/>
    <x v="3"/>
    <x v="3"/>
    <x v="2"/>
    <x v="0"/>
    <x v="5"/>
    <x v="0"/>
    <x v="0"/>
    <x v="0"/>
    <x v="11"/>
  </r>
  <r>
    <x v="336"/>
    <x v="0"/>
    <x v="0"/>
    <x v="1"/>
    <x v="0"/>
    <x v="4"/>
    <x v="18"/>
    <x v="34"/>
    <x v="2"/>
    <x v="29"/>
    <x v="11"/>
  </r>
  <r>
    <x v="337"/>
    <x v="2"/>
    <x v="0"/>
    <x v="3"/>
    <x v="2"/>
    <x v="4"/>
    <x v="7"/>
    <x v="12"/>
    <x v="0"/>
    <x v="12"/>
    <x v="11"/>
  </r>
  <r>
    <x v="338"/>
    <x v="1"/>
    <x v="0"/>
    <x v="3"/>
    <x v="1"/>
    <x v="4"/>
    <x v="21"/>
    <x v="56"/>
    <x v="15"/>
    <x v="45"/>
    <x v="11"/>
  </r>
  <r>
    <x v="339"/>
    <x v="2"/>
    <x v="4"/>
    <x v="1"/>
    <x v="2"/>
    <x v="2"/>
    <x v="9"/>
    <x v="10"/>
    <x v="8"/>
    <x v="10"/>
    <x v="11"/>
  </r>
  <r>
    <x v="340"/>
    <x v="2"/>
    <x v="2"/>
    <x v="1"/>
    <x v="2"/>
    <x v="1"/>
    <x v="6"/>
    <x v="11"/>
    <x v="8"/>
    <x v="11"/>
    <x v="11"/>
  </r>
  <r>
    <x v="341"/>
    <x v="4"/>
    <x v="1"/>
    <x v="2"/>
    <x v="4"/>
    <x v="0"/>
    <x v="15"/>
    <x v="70"/>
    <x v="17"/>
    <x v="27"/>
    <x v="11"/>
  </r>
  <r>
    <x v="342"/>
    <x v="3"/>
    <x v="4"/>
    <x v="3"/>
    <x v="3"/>
    <x v="4"/>
    <x v="22"/>
    <x v="85"/>
    <x v="14"/>
    <x v="61"/>
    <x v="11"/>
  </r>
  <r>
    <x v="343"/>
    <x v="4"/>
    <x v="0"/>
    <x v="1"/>
    <x v="4"/>
    <x v="1"/>
    <x v="24"/>
    <x v="67"/>
    <x v="11"/>
    <x v="53"/>
    <x v="11"/>
  </r>
  <r>
    <x v="344"/>
    <x v="2"/>
    <x v="2"/>
    <x v="0"/>
    <x v="2"/>
    <x v="0"/>
    <x v="5"/>
    <x v="37"/>
    <x v="4"/>
    <x v="31"/>
    <x v="11"/>
  </r>
  <r>
    <x v="345"/>
    <x v="0"/>
    <x v="1"/>
    <x v="0"/>
    <x v="0"/>
    <x v="0"/>
    <x v="0"/>
    <x v="0"/>
    <x v="0"/>
    <x v="0"/>
    <x v="11"/>
  </r>
  <r>
    <x v="346"/>
    <x v="0"/>
    <x v="0"/>
    <x v="0"/>
    <x v="0"/>
    <x v="2"/>
    <x v="17"/>
    <x v="49"/>
    <x v="0"/>
    <x v="39"/>
    <x v="11"/>
  </r>
  <r>
    <x v="347"/>
    <x v="2"/>
    <x v="0"/>
    <x v="1"/>
    <x v="2"/>
    <x v="3"/>
    <x v="3"/>
    <x v="62"/>
    <x v="8"/>
    <x v="49"/>
    <x v="11"/>
  </r>
  <r>
    <x v="348"/>
    <x v="3"/>
    <x v="0"/>
    <x v="0"/>
    <x v="3"/>
    <x v="0"/>
    <x v="13"/>
    <x v="59"/>
    <x v="7"/>
    <x v="46"/>
    <x v="11"/>
  </r>
  <r>
    <x v="349"/>
    <x v="1"/>
    <x v="4"/>
    <x v="3"/>
    <x v="1"/>
    <x v="3"/>
    <x v="23"/>
    <x v="58"/>
    <x v="15"/>
    <x v="39"/>
    <x v="11"/>
  </r>
  <r>
    <x v="350"/>
    <x v="4"/>
    <x v="4"/>
    <x v="3"/>
    <x v="4"/>
    <x v="1"/>
    <x v="24"/>
    <x v="86"/>
    <x v="9"/>
    <x v="62"/>
    <x v="11"/>
  </r>
  <r>
    <x v="351"/>
    <x v="1"/>
    <x v="0"/>
    <x v="0"/>
    <x v="1"/>
    <x v="0"/>
    <x v="14"/>
    <x v="47"/>
    <x v="3"/>
    <x v="37"/>
    <x v="11"/>
  </r>
  <r>
    <x v="352"/>
    <x v="3"/>
    <x v="4"/>
    <x v="0"/>
    <x v="3"/>
    <x v="3"/>
    <x v="16"/>
    <x v="80"/>
    <x v="7"/>
    <x v="31"/>
    <x v="11"/>
  </r>
  <r>
    <x v="353"/>
    <x v="1"/>
    <x v="3"/>
    <x v="1"/>
    <x v="1"/>
    <x v="4"/>
    <x v="21"/>
    <x v="42"/>
    <x v="1"/>
    <x v="35"/>
    <x v="11"/>
  </r>
  <r>
    <x v="354"/>
    <x v="0"/>
    <x v="1"/>
    <x v="0"/>
    <x v="0"/>
    <x v="1"/>
    <x v="10"/>
    <x v="7"/>
    <x v="0"/>
    <x v="7"/>
    <x v="11"/>
  </r>
  <r>
    <x v="355"/>
    <x v="4"/>
    <x v="4"/>
    <x v="3"/>
    <x v="4"/>
    <x v="0"/>
    <x v="15"/>
    <x v="23"/>
    <x v="9"/>
    <x v="20"/>
    <x v="11"/>
  </r>
  <r>
    <x v="356"/>
    <x v="2"/>
    <x v="0"/>
    <x v="1"/>
    <x v="2"/>
    <x v="0"/>
    <x v="5"/>
    <x v="27"/>
    <x v="8"/>
    <x v="23"/>
    <x v="11"/>
  </r>
  <r>
    <x v="357"/>
    <x v="2"/>
    <x v="3"/>
    <x v="3"/>
    <x v="2"/>
    <x v="3"/>
    <x v="3"/>
    <x v="14"/>
    <x v="0"/>
    <x v="14"/>
    <x v="11"/>
  </r>
  <r>
    <x v="358"/>
    <x v="3"/>
    <x v="0"/>
    <x v="0"/>
    <x v="3"/>
    <x v="0"/>
    <x v="13"/>
    <x v="59"/>
    <x v="7"/>
    <x v="46"/>
    <x v="11"/>
  </r>
  <r>
    <x v="359"/>
    <x v="1"/>
    <x v="2"/>
    <x v="1"/>
    <x v="1"/>
    <x v="1"/>
    <x v="1"/>
    <x v="1"/>
    <x v="1"/>
    <x v="1"/>
    <x v="11"/>
  </r>
  <r>
    <x v="360"/>
    <x v="2"/>
    <x v="0"/>
    <x v="3"/>
    <x v="2"/>
    <x v="4"/>
    <x v="7"/>
    <x v="12"/>
    <x v="0"/>
    <x v="12"/>
    <x v="11"/>
  </r>
  <r>
    <x v="361"/>
    <x v="4"/>
    <x v="0"/>
    <x v="2"/>
    <x v="4"/>
    <x v="0"/>
    <x v="15"/>
    <x v="70"/>
    <x v="17"/>
    <x v="27"/>
    <x v="11"/>
  </r>
  <r>
    <x v="362"/>
    <x v="0"/>
    <x v="2"/>
    <x v="1"/>
    <x v="0"/>
    <x v="3"/>
    <x v="20"/>
    <x v="64"/>
    <x v="2"/>
    <x v="50"/>
    <x v="11"/>
  </r>
  <r>
    <x v="363"/>
    <x v="2"/>
    <x v="1"/>
    <x v="3"/>
    <x v="2"/>
    <x v="2"/>
    <x v="9"/>
    <x v="49"/>
    <x v="0"/>
    <x v="39"/>
    <x v="11"/>
  </r>
  <r>
    <x v="364"/>
    <x v="3"/>
    <x v="3"/>
    <x v="1"/>
    <x v="3"/>
    <x v="0"/>
    <x v="13"/>
    <x v="19"/>
    <x v="13"/>
    <x v="17"/>
    <x v="11"/>
  </r>
  <r>
    <x v="365"/>
    <x v="0"/>
    <x v="3"/>
    <x v="2"/>
    <x v="0"/>
    <x v="2"/>
    <x v="17"/>
    <x v="28"/>
    <x v="4"/>
    <x v="24"/>
    <x v="0"/>
  </r>
  <r>
    <x v="366"/>
    <x v="1"/>
    <x v="3"/>
    <x v="0"/>
    <x v="1"/>
    <x v="4"/>
    <x v="21"/>
    <x v="55"/>
    <x v="3"/>
    <x v="44"/>
    <x v="0"/>
  </r>
  <r>
    <x v="367"/>
    <x v="3"/>
    <x v="1"/>
    <x v="2"/>
    <x v="3"/>
    <x v="0"/>
    <x v="13"/>
    <x v="69"/>
    <x v="5"/>
    <x v="55"/>
    <x v="0"/>
  </r>
  <r>
    <x v="368"/>
    <x v="0"/>
    <x v="1"/>
    <x v="0"/>
    <x v="0"/>
    <x v="3"/>
    <x v="20"/>
    <x v="14"/>
    <x v="0"/>
    <x v="14"/>
    <x v="0"/>
  </r>
  <r>
    <x v="369"/>
    <x v="1"/>
    <x v="3"/>
    <x v="0"/>
    <x v="1"/>
    <x v="0"/>
    <x v="14"/>
    <x v="47"/>
    <x v="3"/>
    <x v="37"/>
    <x v="0"/>
  </r>
  <r>
    <x v="370"/>
    <x v="3"/>
    <x v="0"/>
    <x v="3"/>
    <x v="3"/>
    <x v="2"/>
    <x v="4"/>
    <x v="51"/>
    <x v="14"/>
    <x v="28"/>
    <x v="0"/>
  </r>
  <r>
    <x v="371"/>
    <x v="3"/>
    <x v="4"/>
    <x v="1"/>
    <x v="3"/>
    <x v="4"/>
    <x v="22"/>
    <x v="88"/>
    <x v="13"/>
    <x v="64"/>
    <x v="0"/>
  </r>
  <r>
    <x v="372"/>
    <x v="3"/>
    <x v="3"/>
    <x v="0"/>
    <x v="3"/>
    <x v="3"/>
    <x v="16"/>
    <x v="80"/>
    <x v="7"/>
    <x v="31"/>
    <x v="0"/>
  </r>
  <r>
    <x v="373"/>
    <x v="3"/>
    <x v="1"/>
    <x v="1"/>
    <x v="3"/>
    <x v="4"/>
    <x v="22"/>
    <x v="88"/>
    <x v="13"/>
    <x v="64"/>
    <x v="0"/>
  </r>
  <r>
    <x v="374"/>
    <x v="1"/>
    <x v="4"/>
    <x v="0"/>
    <x v="1"/>
    <x v="3"/>
    <x v="23"/>
    <x v="72"/>
    <x v="3"/>
    <x v="24"/>
    <x v="0"/>
  </r>
  <r>
    <x v="375"/>
    <x v="0"/>
    <x v="1"/>
    <x v="0"/>
    <x v="0"/>
    <x v="0"/>
    <x v="0"/>
    <x v="0"/>
    <x v="0"/>
    <x v="0"/>
    <x v="0"/>
  </r>
  <r>
    <x v="376"/>
    <x v="1"/>
    <x v="1"/>
    <x v="2"/>
    <x v="1"/>
    <x v="3"/>
    <x v="23"/>
    <x v="60"/>
    <x v="12"/>
    <x v="47"/>
    <x v="0"/>
  </r>
  <r>
    <x v="377"/>
    <x v="1"/>
    <x v="1"/>
    <x v="1"/>
    <x v="1"/>
    <x v="1"/>
    <x v="1"/>
    <x v="1"/>
    <x v="1"/>
    <x v="1"/>
    <x v="0"/>
  </r>
  <r>
    <x v="378"/>
    <x v="4"/>
    <x v="0"/>
    <x v="1"/>
    <x v="4"/>
    <x v="3"/>
    <x v="11"/>
    <x v="17"/>
    <x v="11"/>
    <x v="11"/>
    <x v="0"/>
  </r>
  <r>
    <x v="379"/>
    <x v="0"/>
    <x v="0"/>
    <x v="2"/>
    <x v="0"/>
    <x v="1"/>
    <x v="10"/>
    <x v="20"/>
    <x v="4"/>
    <x v="18"/>
    <x v="0"/>
  </r>
  <r>
    <x v="380"/>
    <x v="1"/>
    <x v="1"/>
    <x v="1"/>
    <x v="1"/>
    <x v="2"/>
    <x v="2"/>
    <x v="52"/>
    <x v="1"/>
    <x v="41"/>
    <x v="0"/>
  </r>
  <r>
    <x v="381"/>
    <x v="3"/>
    <x v="4"/>
    <x v="3"/>
    <x v="3"/>
    <x v="3"/>
    <x v="16"/>
    <x v="26"/>
    <x v="14"/>
    <x v="0"/>
    <x v="0"/>
  </r>
  <r>
    <x v="382"/>
    <x v="0"/>
    <x v="0"/>
    <x v="0"/>
    <x v="0"/>
    <x v="2"/>
    <x v="17"/>
    <x v="49"/>
    <x v="0"/>
    <x v="39"/>
    <x v="0"/>
  </r>
  <r>
    <x v="383"/>
    <x v="4"/>
    <x v="1"/>
    <x v="1"/>
    <x v="4"/>
    <x v="1"/>
    <x v="24"/>
    <x v="67"/>
    <x v="11"/>
    <x v="53"/>
    <x v="0"/>
  </r>
  <r>
    <x v="384"/>
    <x v="3"/>
    <x v="0"/>
    <x v="0"/>
    <x v="3"/>
    <x v="4"/>
    <x v="22"/>
    <x v="50"/>
    <x v="7"/>
    <x v="40"/>
    <x v="0"/>
  </r>
  <r>
    <x v="385"/>
    <x v="4"/>
    <x v="3"/>
    <x v="1"/>
    <x v="4"/>
    <x v="3"/>
    <x v="11"/>
    <x v="17"/>
    <x v="11"/>
    <x v="11"/>
    <x v="0"/>
  </r>
  <r>
    <x v="386"/>
    <x v="4"/>
    <x v="2"/>
    <x v="3"/>
    <x v="4"/>
    <x v="4"/>
    <x v="12"/>
    <x v="54"/>
    <x v="9"/>
    <x v="43"/>
    <x v="0"/>
  </r>
  <r>
    <x v="387"/>
    <x v="3"/>
    <x v="0"/>
    <x v="0"/>
    <x v="3"/>
    <x v="4"/>
    <x v="22"/>
    <x v="50"/>
    <x v="7"/>
    <x v="40"/>
    <x v="0"/>
  </r>
  <r>
    <x v="388"/>
    <x v="3"/>
    <x v="1"/>
    <x v="0"/>
    <x v="3"/>
    <x v="4"/>
    <x v="22"/>
    <x v="50"/>
    <x v="7"/>
    <x v="40"/>
    <x v="0"/>
  </r>
  <r>
    <x v="389"/>
    <x v="1"/>
    <x v="0"/>
    <x v="0"/>
    <x v="1"/>
    <x v="0"/>
    <x v="14"/>
    <x v="47"/>
    <x v="3"/>
    <x v="37"/>
    <x v="0"/>
  </r>
  <r>
    <x v="390"/>
    <x v="3"/>
    <x v="1"/>
    <x v="3"/>
    <x v="3"/>
    <x v="1"/>
    <x v="8"/>
    <x v="45"/>
    <x v="14"/>
    <x v="20"/>
    <x v="0"/>
  </r>
  <r>
    <x v="391"/>
    <x v="0"/>
    <x v="1"/>
    <x v="3"/>
    <x v="0"/>
    <x v="2"/>
    <x v="17"/>
    <x v="61"/>
    <x v="16"/>
    <x v="48"/>
    <x v="0"/>
  </r>
  <r>
    <x v="392"/>
    <x v="0"/>
    <x v="2"/>
    <x v="3"/>
    <x v="0"/>
    <x v="2"/>
    <x v="17"/>
    <x v="61"/>
    <x v="16"/>
    <x v="48"/>
    <x v="0"/>
  </r>
  <r>
    <x v="393"/>
    <x v="4"/>
    <x v="2"/>
    <x v="3"/>
    <x v="4"/>
    <x v="2"/>
    <x v="19"/>
    <x v="48"/>
    <x v="9"/>
    <x v="38"/>
    <x v="0"/>
  </r>
  <r>
    <x v="394"/>
    <x v="2"/>
    <x v="4"/>
    <x v="1"/>
    <x v="2"/>
    <x v="1"/>
    <x v="6"/>
    <x v="11"/>
    <x v="8"/>
    <x v="11"/>
    <x v="0"/>
  </r>
  <r>
    <x v="395"/>
    <x v="3"/>
    <x v="0"/>
    <x v="3"/>
    <x v="3"/>
    <x v="4"/>
    <x v="22"/>
    <x v="85"/>
    <x v="14"/>
    <x v="61"/>
    <x v="0"/>
  </r>
  <r>
    <x v="396"/>
    <x v="4"/>
    <x v="1"/>
    <x v="2"/>
    <x v="4"/>
    <x v="0"/>
    <x v="15"/>
    <x v="70"/>
    <x v="17"/>
    <x v="27"/>
    <x v="1"/>
  </r>
  <r>
    <x v="397"/>
    <x v="2"/>
    <x v="1"/>
    <x v="2"/>
    <x v="2"/>
    <x v="1"/>
    <x v="6"/>
    <x v="6"/>
    <x v="6"/>
    <x v="6"/>
    <x v="1"/>
  </r>
  <r>
    <x v="398"/>
    <x v="2"/>
    <x v="1"/>
    <x v="3"/>
    <x v="2"/>
    <x v="1"/>
    <x v="6"/>
    <x v="7"/>
    <x v="0"/>
    <x v="7"/>
    <x v="1"/>
  </r>
  <r>
    <x v="399"/>
    <x v="4"/>
    <x v="4"/>
    <x v="0"/>
    <x v="4"/>
    <x v="2"/>
    <x v="19"/>
    <x v="36"/>
    <x v="10"/>
    <x v="21"/>
    <x v="1"/>
  </r>
  <r>
    <x v="400"/>
    <x v="1"/>
    <x v="3"/>
    <x v="1"/>
    <x v="1"/>
    <x v="4"/>
    <x v="21"/>
    <x v="42"/>
    <x v="1"/>
    <x v="35"/>
    <x v="1"/>
  </r>
  <r>
    <x v="401"/>
    <x v="0"/>
    <x v="3"/>
    <x v="2"/>
    <x v="0"/>
    <x v="3"/>
    <x v="20"/>
    <x v="4"/>
    <x v="4"/>
    <x v="4"/>
    <x v="1"/>
  </r>
  <r>
    <x v="402"/>
    <x v="3"/>
    <x v="4"/>
    <x v="1"/>
    <x v="3"/>
    <x v="4"/>
    <x v="22"/>
    <x v="88"/>
    <x v="13"/>
    <x v="64"/>
    <x v="1"/>
  </r>
  <r>
    <x v="403"/>
    <x v="4"/>
    <x v="0"/>
    <x v="1"/>
    <x v="4"/>
    <x v="4"/>
    <x v="12"/>
    <x v="82"/>
    <x v="11"/>
    <x v="60"/>
    <x v="1"/>
  </r>
  <r>
    <x v="404"/>
    <x v="2"/>
    <x v="2"/>
    <x v="1"/>
    <x v="2"/>
    <x v="3"/>
    <x v="3"/>
    <x v="62"/>
    <x v="8"/>
    <x v="49"/>
    <x v="1"/>
  </r>
  <r>
    <x v="405"/>
    <x v="3"/>
    <x v="0"/>
    <x v="1"/>
    <x v="3"/>
    <x v="2"/>
    <x v="4"/>
    <x v="21"/>
    <x v="13"/>
    <x v="19"/>
    <x v="1"/>
  </r>
  <r>
    <x v="406"/>
    <x v="3"/>
    <x v="4"/>
    <x v="3"/>
    <x v="3"/>
    <x v="1"/>
    <x v="8"/>
    <x v="45"/>
    <x v="14"/>
    <x v="20"/>
    <x v="1"/>
  </r>
  <r>
    <x v="407"/>
    <x v="2"/>
    <x v="1"/>
    <x v="3"/>
    <x v="2"/>
    <x v="2"/>
    <x v="9"/>
    <x v="49"/>
    <x v="0"/>
    <x v="39"/>
    <x v="1"/>
  </r>
  <r>
    <x v="408"/>
    <x v="1"/>
    <x v="2"/>
    <x v="3"/>
    <x v="1"/>
    <x v="4"/>
    <x v="21"/>
    <x v="56"/>
    <x v="15"/>
    <x v="45"/>
    <x v="1"/>
  </r>
  <r>
    <x v="409"/>
    <x v="4"/>
    <x v="0"/>
    <x v="2"/>
    <x v="4"/>
    <x v="1"/>
    <x v="24"/>
    <x v="65"/>
    <x v="17"/>
    <x v="51"/>
    <x v="1"/>
  </r>
  <r>
    <x v="410"/>
    <x v="4"/>
    <x v="2"/>
    <x v="2"/>
    <x v="4"/>
    <x v="1"/>
    <x v="24"/>
    <x v="65"/>
    <x v="17"/>
    <x v="51"/>
    <x v="1"/>
  </r>
  <r>
    <x v="411"/>
    <x v="3"/>
    <x v="4"/>
    <x v="1"/>
    <x v="3"/>
    <x v="0"/>
    <x v="13"/>
    <x v="19"/>
    <x v="13"/>
    <x v="17"/>
    <x v="1"/>
  </r>
  <r>
    <x v="412"/>
    <x v="2"/>
    <x v="1"/>
    <x v="1"/>
    <x v="2"/>
    <x v="0"/>
    <x v="5"/>
    <x v="27"/>
    <x v="8"/>
    <x v="23"/>
    <x v="1"/>
  </r>
  <r>
    <x v="413"/>
    <x v="3"/>
    <x v="3"/>
    <x v="1"/>
    <x v="3"/>
    <x v="4"/>
    <x v="22"/>
    <x v="88"/>
    <x v="13"/>
    <x v="64"/>
    <x v="1"/>
  </r>
  <r>
    <x v="414"/>
    <x v="1"/>
    <x v="4"/>
    <x v="2"/>
    <x v="1"/>
    <x v="3"/>
    <x v="23"/>
    <x v="60"/>
    <x v="12"/>
    <x v="47"/>
    <x v="1"/>
  </r>
  <r>
    <x v="415"/>
    <x v="4"/>
    <x v="1"/>
    <x v="2"/>
    <x v="4"/>
    <x v="1"/>
    <x v="24"/>
    <x v="65"/>
    <x v="17"/>
    <x v="51"/>
    <x v="1"/>
  </r>
  <r>
    <x v="416"/>
    <x v="1"/>
    <x v="0"/>
    <x v="2"/>
    <x v="1"/>
    <x v="4"/>
    <x v="21"/>
    <x v="75"/>
    <x v="12"/>
    <x v="57"/>
    <x v="1"/>
  </r>
  <r>
    <x v="417"/>
    <x v="1"/>
    <x v="4"/>
    <x v="0"/>
    <x v="1"/>
    <x v="0"/>
    <x v="14"/>
    <x v="47"/>
    <x v="3"/>
    <x v="37"/>
    <x v="1"/>
  </r>
  <r>
    <x v="418"/>
    <x v="2"/>
    <x v="3"/>
    <x v="3"/>
    <x v="2"/>
    <x v="2"/>
    <x v="9"/>
    <x v="49"/>
    <x v="0"/>
    <x v="39"/>
    <x v="1"/>
  </r>
  <r>
    <x v="419"/>
    <x v="3"/>
    <x v="2"/>
    <x v="3"/>
    <x v="3"/>
    <x v="0"/>
    <x v="13"/>
    <x v="89"/>
    <x v="14"/>
    <x v="65"/>
    <x v="1"/>
  </r>
  <r>
    <x v="420"/>
    <x v="4"/>
    <x v="0"/>
    <x v="1"/>
    <x v="4"/>
    <x v="0"/>
    <x v="15"/>
    <x v="63"/>
    <x v="11"/>
    <x v="34"/>
    <x v="1"/>
  </r>
  <r>
    <x v="421"/>
    <x v="3"/>
    <x v="1"/>
    <x v="1"/>
    <x v="3"/>
    <x v="0"/>
    <x v="13"/>
    <x v="19"/>
    <x v="13"/>
    <x v="17"/>
    <x v="1"/>
  </r>
  <r>
    <x v="422"/>
    <x v="1"/>
    <x v="1"/>
    <x v="2"/>
    <x v="1"/>
    <x v="2"/>
    <x v="2"/>
    <x v="78"/>
    <x v="12"/>
    <x v="59"/>
    <x v="1"/>
  </r>
  <r>
    <x v="423"/>
    <x v="4"/>
    <x v="4"/>
    <x v="3"/>
    <x v="4"/>
    <x v="0"/>
    <x v="15"/>
    <x v="23"/>
    <x v="9"/>
    <x v="20"/>
    <x v="1"/>
  </r>
  <r>
    <x v="424"/>
    <x v="3"/>
    <x v="3"/>
    <x v="2"/>
    <x v="3"/>
    <x v="1"/>
    <x v="8"/>
    <x v="32"/>
    <x v="5"/>
    <x v="27"/>
    <x v="1"/>
  </r>
  <r>
    <x v="425"/>
    <x v="2"/>
    <x v="2"/>
    <x v="1"/>
    <x v="2"/>
    <x v="1"/>
    <x v="6"/>
    <x v="11"/>
    <x v="8"/>
    <x v="11"/>
    <x v="2"/>
  </r>
  <r>
    <x v="426"/>
    <x v="0"/>
    <x v="2"/>
    <x v="2"/>
    <x v="0"/>
    <x v="0"/>
    <x v="0"/>
    <x v="37"/>
    <x v="4"/>
    <x v="31"/>
    <x v="2"/>
  </r>
  <r>
    <x v="427"/>
    <x v="3"/>
    <x v="2"/>
    <x v="0"/>
    <x v="3"/>
    <x v="0"/>
    <x v="13"/>
    <x v="59"/>
    <x v="7"/>
    <x v="46"/>
    <x v="2"/>
  </r>
  <r>
    <x v="428"/>
    <x v="3"/>
    <x v="3"/>
    <x v="2"/>
    <x v="3"/>
    <x v="0"/>
    <x v="13"/>
    <x v="69"/>
    <x v="5"/>
    <x v="55"/>
    <x v="2"/>
  </r>
  <r>
    <x v="429"/>
    <x v="2"/>
    <x v="1"/>
    <x v="1"/>
    <x v="2"/>
    <x v="0"/>
    <x v="5"/>
    <x v="27"/>
    <x v="8"/>
    <x v="23"/>
    <x v="2"/>
  </r>
  <r>
    <x v="430"/>
    <x v="3"/>
    <x v="4"/>
    <x v="1"/>
    <x v="3"/>
    <x v="1"/>
    <x v="8"/>
    <x v="41"/>
    <x v="13"/>
    <x v="34"/>
    <x v="2"/>
  </r>
  <r>
    <x v="431"/>
    <x v="4"/>
    <x v="1"/>
    <x v="2"/>
    <x v="4"/>
    <x v="2"/>
    <x v="19"/>
    <x v="79"/>
    <x v="17"/>
    <x v="16"/>
    <x v="2"/>
  </r>
  <r>
    <x v="432"/>
    <x v="4"/>
    <x v="0"/>
    <x v="0"/>
    <x v="4"/>
    <x v="0"/>
    <x v="15"/>
    <x v="81"/>
    <x v="10"/>
    <x v="9"/>
    <x v="2"/>
  </r>
  <r>
    <x v="433"/>
    <x v="0"/>
    <x v="3"/>
    <x v="0"/>
    <x v="0"/>
    <x v="1"/>
    <x v="10"/>
    <x v="7"/>
    <x v="0"/>
    <x v="7"/>
    <x v="2"/>
  </r>
  <r>
    <x v="434"/>
    <x v="4"/>
    <x v="2"/>
    <x v="2"/>
    <x v="4"/>
    <x v="4"/>
    <x v="12"/>
    <x v="87"/>
    <x v="17"/>
    <x v="63"/>
    <x v="2"/>
  </r>
  <r>
    <x v="435"/>
    <x v="3"/>
    <x v="0"/>
    <x v="2"/>
    <x v="3"/>
    <x v="1"/>
    <x v="8"/>
    <x v="32"/>
    <x v="5"/>
    <x v="27"/>
    <x v="2"/>
  </r>
  <r>
    <x v="436"/>
    <x v="4"/>
    <x v="3"/>
    <x v="3"/>
    <x v="4"/>
    <x v="0"/>
    <x v="15"/>
    <x v="23"/>
    <x v="9"/>
    <x v="20"/>
    <x v="2"/>
  </r>
  <r>
    <x v="437"/>
    <x v="1"/>
    <x v="3"/>
    <x v="0"/>
    <x v="1"/>
    <x v="0"/>
    <x v="14"/>
    <x v="47"/>
    <x v="3"/>
    <x v="37"/>
    <x v="2"/>
  </r>
  <r>
    <x v="438"/>
    <x v="2"/>
    <x v="0"/>
    <x v="1"/>
    <x v="2"/>
    <x v="3"/>
    <x v="3"/>
    <x v="62"/>
    <x v="8"/>
    <x v="49"/>
    <x v="2"/>
  </r>
  <r>
    <x v="439"/>
    <x v="4"/>
    <x v="2"/>
    <x v="1"/>
    <x v="4"/>
    <x v="2"/>
    <x v="19"/>
    <x v="57"/>
    <x v="11"/>
    <x v="1"/>
    <x v="2"/>
  </r>
  <r>
    <x v="440"/>
    <x v="2"/>
    <x v="3"/>
    <x v="1"/>
    <x v="2"/>
    <x v="0"/>
    <x v="5"/>
    <x v="27"/>
    <x v="8"/>
    <x v="23"/>
    <x v="2"/>
  </r>
  <r>
    <x v="441"/>
    <x v="3"/>
    <x v="2"/>
    <x v="2"/>
    <x v="3"/>
    <x v="1"/>
    <x v="8"/>
    <x v="32"/>
    <x v="5"/>
    <x v="27"/>
    <x v="2"/>
  </r>
  <r>
    <x v="442"/>
    <x v="3"/>
    <x v="3"/>
    <x v="2"/>
    <x v="3"/>
    <x v="3"/>
    <x v="16"/>
    <x v="44"/>
    <x v="5"/>
    <x v="25"/>
    <x v="2"/>
  </r>
  <r>
    <x v="443"/>
    <x v="4"/>
    <x v="3"/>
    <x v="0"/>
    <x v="4"/>
    <x v="1"/>
    <x v="24"/>
    <x v="68"/>
    <x v="10"/>
    <x v="54"/>
    <x v="2"/>
  </r>
  <r>
    <x v="444"/>
    <x v="4"/>
    <x v="1"/>
    <x v="0"/>
    <x v="4"/>
    <x v="3"/>
    <x v="11"/>
    <x v="31"/>
    <x v="10"/>
    <x v="18"/>
    <x v="2"/>
  </r>
  <r>
    <x v="445"/>
    <x v="2"/>
    <x v="2"/>
    <x v="2"/>
    <x v="2"/>
    <x v="3"/>
    <x v="3"/>
    <x v="35"/>
    <x v="6"/>
    <x v="30"/>
    <x v="2"/>
  </r>
  <r>
    <x v="446"/>
    <x v="1"/>
    <x v="3"/>
    <x v="3"/>
    <x v="1"/>
    <x v="2"/>
    <x v="2"/>
    <x v="43"/>
    <x v="15"/>
    <x v="36"/>
    <x v="2"/>
  </r>
  <r>
    <x v="447"/>
    <x v="0"/>
    <x v="4"/>
    <x v="2"/>
    <x v="0"/>
    <x v="3"/>
    <x v="20"/>
    <x v="4"/>
    <x v="4"/>
    <x v="4"/>
    <x v="2"/>
  </r>
  <r>
    <x v="448"/>
    <x v="2"/>
    <x v="2"/>
    <x v="2"/>
    <x v="2"/>
    <x v="3"/>
    <x v="3"/>
    <x v="35"/>
    <x v="6"/>
    <x v="30"/>
    <x v="2"/>
  </r>
  <r>
    <x v="449"/>
    <x v="0"/>
    <x v="3"/>
    <x v="1"/>
    <x v="0"/>
    <x v="2"/>
    <x v="17"/>
    <x v="38"/>
    <x v="2"/>
    <x v="32"/>
    <x v="2"/>
  </r>
  <r>
    <x v="450"/>
    <x v="3"/>
    <x v="2"/>
    <x v="2"/>
    <x v="3"/>
    <x v="0"/>
    <x v="13"/>
    <x v="69"/>
    <x v="5"/>
    <x v="55"/>
    <x v="2"/>
  </r>
  <r>
    <x v="451"/>
    <x v="2"/>
    <x v="1"/>
    <x v="0"/>
    <x v="2"/>
    <x v="2"/>
    <x v="9"/>
    <x v="28"/>
    <x v="4"/>
    <x v="24"/>
    <x v="2"/>
  </r>
  <r>
    <x v="452"/>
    <x v="1"/>
    <x v="2"/>
    <x v="3"/>
    <x v="1"/>
    <x v="3"/>
    <x v="23"/>
    <x v="58"/>
    <x v="15"/>
    <x v="39"/>
    <x v="2"/>
  </r>
  <r>
    <x v="453"/>
    <x v="4"/>
    <x v="3"/>
    <x v="2"/>
    <x v="4"/>
    <x v="3"/>
    <x v="11"/>
    <x v="46"/>
    <x v="17"/>
    <x v="6"/>
    <x v="2"/>
  </r>
  <r>
    <x v="454"/>
    <x v="3"/>
    <x v="1"/>
    <x v="1"/>
    <x v="3"/>
    <x v="2"/>
    <x v="4"/>
    <x v="21"/>
    <x v="13"/>
    <x v="19"/>
    <x v="2"/>
  </r>
  <r>
    <x v="455"/>
    <x v="1"/>
    <x v="2"/>
    <x v="2"/>
    <x v="1"/>
    <x v="1"/>
    <x v="1"/>
    <x v="18"/>
    <x v="12"/>
    <x v="16"/>
    <x v="2"/>
  </r>
  <r>
    <x v="456"/>
    <x v="3"/>
    <x v="1"/>
    <x v="0"/>
    <x v="3"/>
    <x v="3"/>
    <x v="16"/>
    <x v="80"/>
    <x v="7"/>
    <x v="31"/>
    <x v="3"/>
  </r>
  <r>
    <x v="457"/>
    <x v="2"/>
    <x v="2"/>
    <x v="3"/>
    <x v="2"/>
    <x v="4"/>
    <x v="7"/>
    <x v="12"/>
    <x v="0"/>
    <x v="12"/>
    <x v="3"/>
  </r>
  <r>
    <x v="458"/>
    <x v="2"/>
    <x v="4"/>
    <x v="3"/>
    <x v="2"/>
    <x v="0"/>
    <x v="5"/>
    <x v="0"/>
    <x v="0"/>
    <x v="0"/>
    <x v="3"/>
  </r>
  <r>
    <x v="459"/>
    <x v="4"/>
    <x v="0"/>
    <x v="0"/>
    <x v="4"/>
    <x v="3"/>
    <x v="11"/>
    <x v="31"/>
    <x v="10"/>
    <x v="18"/>
    <x v="3"/>
  </r>
  <r>
    <x v="460"/>
    <x v="1"/>
    <x v="2"/>
    <x v="3"/>
    <x v="1"/>
    <x v="3"/>
    <x v="23"/>
    <x v="58"/>
    <x v="15"/>
    <x v="39"/>
    <x v="3"/>
  </r>
  <r>
    <x v="461"/>
    <x v="4"/>
    <x v="0"/>
    <x v="3"/>
    <x v="4"/>
    <x v="2"/>
    <x v="19"/>
    <x v="48"/>
    <x v="9"/>
    <x v="38"/>
    <x v="3"/>
  </r>
  <r>
    <x v="462"/>
    <x v="0"/>
    <x v="3"/>
    <x v="2"/>
    <x v="0"/>
    <x v="4"/>
    <x v="18"/>
    <x v="8"/>
    <x v="4"/>
    <x v="8"/>
    <x v="3"/>
  </r>
  <r>
    <x v="463"/>
    <x v="0"/>
    <x v="3"/>
    <x v="1"/>
    <x v="0"/>
    <x v="2"/>
    <x v="17"/>
    <x v="38"/>
    <x v="2"/>
    <x v="32"/>
    <x v="3"/>
  </r>
  <r>
    <x v="464"/>
    <x v="4"/>
    <x v="4"/>
    <x v="0"/>
    <x v="4"/>
    <x v="4"/>
    <x v="12"/>
    <x v="16"/>
    <x v="10"/>
    <x v="15"/>
    <x v="3"/>
  </r>
  <r>
    <x v="465"/>
    <x v="3"/>
    <x v="3"/>
    <x v="2"/>
    <x v="3"/>
    <x v="2"/>
    <x v="4"/>
    <x v="5"/>
    <x v="5"/>
    <x v="5"/>
    <x v="3"/>
  </r>
  <r>
    <x v="466"/>
    <x v="2"/>
    <x v="4"/>
    <x v="2"/>
    <x v="2"/>
    <x v="1"/>
    <x v="6"/>
    <x v="6"/>
    <x v="6"/>
    <x v="6"/>
    <x v="3"/>
  </r>
  <r>
    <x v="467"/>
    <x v="0"/>
    <x v="3"/>
    <x v="1"/>
    <x v="0"/>
    <x v="3"/>
    <x v="20"/>
    <x v="64"/>
    <x v="2"/>
    <x v="50"/>
    <x v="3"/>
  </r>
  <r>
    <x v="468"/>
    <x v="4"/>
    <x v="4"/>
    <x v="3"/>
    <x v="4"/>
    <x v="0"/>
    <x v="15"/>
    <x v="23"/>
    <x v="9"/>
    <x v="20"/>
    <x v="3"/>
  </r>
  <r>
    <x v="469"/>
    <x v="4"/>
    <x v="4"/>
    <x v="2"/>
    <x v="4"/>
    <x v="4"/>
    <x v="12"/>
    <x v="87"/>
    <x v="17"/>
    <x v="63"/>
    <x v="3"/>
  </r>
  <r>
    <x v="470"/>
    <x v="2"/>
    <x v="3"/>
    <x v="1"/>
    <x v="2"/>
    <x v="0"/>
    <x v="5"/>
    <x v="27"/>
    <x v="8"/>
    <x v="23"/>
    <x v="3"/>
  </r>
  <r>
    <x v="471"/>
    <x v="4"/>
    <x v="2"/>
    <x v="1"/>
    <x v="4"/>
    <x v="1"/>
    <x v="24"/>
    <x v="67"/>
    <x v="11"/>
    <x v="53"/>
    <x v="3"/>
  </r>
  <r>
    <x v="472"/>
    <x v="4"/>
    <x v="0"/>
    <x v="2"/>
    <x v="4"/>
    <x v="3"/>
    <x v="11"/>
    <x v="46"/>
    <x v="17"/>
    <x v="6"/>
    <x v="3"/>
  </r>
  <r>
    <x v="473"/>
    <x v="1"/>
    <x v="1"/>
    <x v="2"/>
    <x v="1"/>
    <x v="4"/>
    <x v="21"/>
    <x v="75"/>
    <x v="12"/>
    <x v="57"/>
    <x v="3"/>
  </r>
  <r>
    <x v="474"/>
    <x v="3"/>
    <x v="4"/>
    <x v="3"/>
    <x v="3"/>
    <x v="1"/>
    <x v="8"/>
    <x v="45"/>
    <x v="14"/>
    <x v="20"/>
    <x v="3"/>
  </r>
  <r>
    <x v="475"/>
    <x v="0"/>
    <x v="3"/>
    <x v="3"/>
    <x v="0"/>
    <x v="4"/>
    <x v="18"/>
    <x v="53"/>
    <x v="16"/>
    <x v="42"/>
    <x v="3"/>
  </r>
  <r>
    <x v="476"/>
    <x v="4"/>
    <x v="1"/>
    <x v="0"/>
    <x v="4"/>
    <x v="2"/>
    <x v="19"/>
    <x v="36"/>
    <x v="10"/>
    <x v="21"/>
    <x v="3"/>
  </r>
  <r>
    <x v="477"/>
    <x v="3"/>
    <x v="1"/>
    <x v="2"/>
    <x v="3"/>
    <x v="0"/>
    <x v="13"/>
    <x v="69"/>
    <x v="5"/>
    <x v="55"/>
    <x v="3"/>
  </r>
  <r>
    <x v="478"/>
    <x v="3"/>
    <x v="1"/>
    <x v="3"/>
    <x v="3"/>
    <x v="4"/>
    <x v="22"/>
    <x v="85"/>
    <x v="14"/>
    <x v="61"/>
    <x v="3"/>
  </r>
  <r>
    <x v="479"/>
    <x v="2"/>
    <x v="4"/>
    <x v="3"/>
    <x v="2"/>
    <x v="3"/>
    <x v="3"/>
    <x v="14"/>
    <x v="0"/>
    <x v="14"/>
    <x v="3"/>
  </r>
  <r>
    <x v="480"/>
    <x v="0"/>
    <x v="2"/>
    <x v="3"/>
    <x v="0"/>
    <x v="4"/>
    <x v="18"/>
    <x v="53"/>
    <x v="16"/>
    <x v="42"/>
    <x v="3"/>
  </r>
  <r>
    <x v="481"/>
    <x v="3"/>
    <x v="2"/>
    <x v="3"/>
    <x v="3"/>
    <x v="2"/>
    <x v="4"/>
    <x v="51"/>
    <x v="14"/>
    <x v="28"/>
    <x v="3"/>
  </r>
  <r>
    <x v="482"/>
    <x v="1"/>
    <x v="2"/>
    <x v="2"/>
    <x v="1"/>
    <x v="4"/>
    <x v="21"/>
    <x v="75"/>
    <x v="12"/>
    <x v="57"/>
    <x v="3"/>
  </r>
  <r>
    <x v="483"/>
    <x v="3"/>
    <x v="0"/>
    <x v="2"/>
    <x v="3"/>
    <x v="1"/>
    <x v="8"/>
    <x v="32"/>
    <x v="5"/>
    <x v="27"/>
    <x v="3"/>
  </r>
  <r>
    <x v="484"/>
    <x v="3"/>
    <x v="0"/>
    <x v="2"/>
    <x v="3"/>
    <x v="0"/>
    <x v="13"/>
    <x v="69"/>
    <x v="5"/>
    <x v="55"/>
    <x v="3"/>
  </r>
  <r>
    <x v="485"/>
    <x v="3"/>
    <x v="4"/>
    <x v="2"/>
    <x v="3"/>
    <x v="3"/>
    <x v="16"/>
    <x v="44"/>
    <x v="5"/>
    <x v="25"/>
    <x v="3"/>
  </r>
  <r>
    <x v="486"/>
    <x v="1"/>
    <x v="1"/>
    <x v="2"/>
    <x v="1"/>
    <x v="1"/>
    <x v="1"/>
    <x v="18"/>
    <x v="12"/>
    <x v="16"/>
    <x v="4"/>
  </r>
  <r>
    <x v="487"/>
    <x v="1"/>
    <x v="1"/>
    <x v="1"/>
    <x v="1"/>
    <x v="0"/>
    <x v="14"/>
    <x v="22"/>
    <x v="1"/>
    <x v="19"/>
    <x v="4"/>
  </r>
  <r>
    <x v="488"/>
    <x v="2"/>
    <x v="3"/>
    <x v="2"/>
    <x v="2"/>
    <x v="0"/>
    <x v="5"/>
    <x v="29"/>
    <x v="6"/>
    <x v="25"/>
    <x v="4"/>
  </r>
  <r>
    <x v="489"/>
    <x v="3"/>
    <x v="2"/>
    <x v="1"/>
    <x v="3"/>
    <x v="3"/>
    <x v="16"/>
    <x v="83"/>
    <x v="13"/>
    <x v="23"/>
    <x v="4"/>
  </r>
  <r>
    <x v="490"/>
    <x v="0"/>
    <x v="4"/>
    <x v="0"/>
    <x v="0"/>
    <x v="3"/>
    <x v="20"/>
    <x v="14"/>
    <x v="0"/>
    <x v="14"/>
    <x v="4"/>
  </r>
  <r>
    <x v="491"/>
    <x v="0"/>
    <x v="1"/>
    <x v="1"/>
    <x v="0"/>
    <x v="4"/>
    <x v="18"/>
    <x v="34"/>
    <x v="2"/>
    <x v="29"/>
    <x v="4"/>
  </r>
  <r>
    <x v="492"/>
    <x v="4"/>
    <x v="2"/>
    <x v="3"/>
    <x v="4"/>
    <x v="2"/>
    <x v="19"/>
    <x v="48"/>
    <x v="9"/>
    <x v="38"/>
    <x v="4"/>
  </r>
  <r>
    <x v="493"/>
    <x v="2"/>
    <x v="2"/>
    <x v="0"/>
    <x v="2"/>
    <x v="0"/>
    <x v="5"/>
    <x v="37"/>
    <x v="4"/>
    <x v="31"/>
    <x v="4"/>
  </r>
  <r>
    <x v="494"/>
    <x v="0"/>
    <x v="0"/>
    <x v="0"/>
    <x v="0"/>
    <x v="2"/>
    <x v="17"/>
    <x v="49"/>
    <x v="0"/>
    <x v="39"/>
    <x v="4"/>
  </r>
  <r>
    <x v="495"/>
    <x v="4"/>
    <x v="4"/>
    <x v="3"/>
    <x v="4"/>
    <x v="2"/>
    <x v="19"/>
    <x v="48"/>
    <x v="9"/>
    <x v="38"/>
    <x v="4"/>
  </r>
  <r>
    <x v="496"/>
    <x v="1"/>
    <x v="1"/>
    <x v="2"/>
    <x v="1"/>
    <x v="0"/>
    <x v="14"/>
    <x v="39"/>
    <x v="12"/>
    <x v="5"/>
    <x v="4"/>
  </r>
  <r>
    <x v="497"/>
    <x v="4"/>
    <x v="2"/>
    <x v="0"/>
    <x v="4"/>
    <x v="4"/>
    <x v="12"/>
    <x v="16"/>
    <x v="10"/>
    <x v="15"/>
    <x v="4"/>
  </r>
  <r>
    <x v="498"/>
    <x v="3"/>
    <x v="3"/>
    <x v="3"/>
    <x v="3"/>
    <x v="3"/>
    <x v="16"/>
    <x v="26"/>
    <x v="14"/>
    <x v="0"/>
    <x v="4"/>
  </r>
  <r>
    <x v="499"/>
    <x v="4"/>
    <x v="2"/>
    <x v="2"/>
    <x v="4"/>
    <x v="2"/>
    <x v="19"/>
    <x v="79"/>
    <x v="17"/>
    <x v="16"/>
    <x v="4"/>
  </r>
  <r>
    <x v="500"/>
    <x v="2"/>
    <x v="4"/>
    <x v="1"/>
    <x v="2"/>
    <x v="4"/>
    <x v="7"/>
    <x v="25"/>
    <x v="8"/>
    <x v="22"/>
    <x v="4"/>
  </r>
  <r>
    <x v="501"/>
    <x v="3"/>
    <x v="1"/>
    <x v="0"/>
    <x v="3"/>
    <x v="1"/>
    <x v="8"/>
    <x v="9"/>
    <x v="7"/>
    <x v="9"/>
    <x v="4"/>
  </r>
  <r>
    <x v="502"/>
    <x v="0"/>
    <x v="0"/>
    <x v="0"/>
    <x v="0"/>
    <x v="0"/>
    <x v="0"/>
    <x v="0"/>
    <x v="0"/>
    <x v="0"/>
    <x v="4"/>
  </r>
  <r>
    <x v="503"/>
    <x v="0"/>
    <x v="2"/>
    <x v="0"/>
    <x v="0"/>
    <x v="2"/>
    <x v="17"/>
    <x v="49"/>
    <x v="0"/>
    <x v="39"/>
    <x v="4"/>
  </r>
  <r>
    <x v="504"/>
    <x v="3"/>
    <x v="2"/>
    <x v="2"/>
    <x v="3"/>
    <x v="3"/>
    <x v="16"/>
    <x v="44"/>
    <x v="5"/>
    <x v="25"/>
    <x v="4"/>
  </r>
  <r>
    <x v="505"/>
    <x v="4"/>
    <x v="3"/>
    <x v="0"/>
    <x v="4"/>
    <x v="3"/>
    <x v="11"/>
    <x v="31"/>
    <x v="10"/>
    <x v="18"/>
    <x v="4"/>
  </r>
  <r>
    <x v="506"/>
    <x v="0"/>
    <x v="2"/>
    <x v="3"/>
    <x v="0"/>
    <x v="2"/>
    <x v="17"/>
    <x v="61"/>
    <x v="16"/>
    <x v="48"/>
    <x v="4"/>
  </r>
  <r>
    <x v="507"/>
    <x v="1"/>
    <x v="3"/>
    <x v="0"/>
    <x v="1"/>
    <x v="3"/>
    <x v="23"/>
    <x v="72"/>
    <x v="3"/>
    <x v="24"/>
    <x v="4"/>
  </r>
  <r>
    <x v="508"/>
    <x v="0"/>
    <x v="1"/>
    <x v="3"/>
    <x v="0"/>
    <x v="4"/>
    <x v="18"/>
    <x v="53"/>
    <x v="16"/>
    <x v="42"/>
    <x v="4"/>
  </r>
  <r>
    <x v="509"/>
    <x v="0"/>
    <x v="3"/>
    <x v="3"/>
    <x v="0"/>
    <x v="0"/>
    <x v="0"/>
    <x v="73"/>
    <x v="16"/>
    <x v="56"/>
    <x v="4"/>
  </r>
  <r>
    <x v="510"/>
    <x v="3"/>
    <x v="2"/>
    <x v="1"/>
    <x v="3"/>
    <x v="0"/>
    <x v="13"/>
    <x v="19"/>
    <x v="13"/>
    <x v="17"/>
    <x v="4"/>
  </r>
  <r>
    <x v="511"/>
    <x v="1"/>
    <x v="0"/>
    <x v="0"/>
    <x v="1"/>
    <x v="1"/>
    <x v="1"/>
    <x v="24"/>
    <x v="3"/>
    <x v="21"/>
    <x v="4"/>
  </r>
  <r>
    <x v="512"/>
    <x v="3"/>
    <x v="0"/>
    <x v="2"/>
    <x v="3"/>
    <x v="3"/>
    <x v="16"/>
    <x v="44"/>
    <x v="5"/>
    <x v="25"/>
    <x v="4"/>
  </r>
  <r>
    <x v="513"/>
    <x v="2"/>
    <x v="2"/>
    <x v="1"/>
    <x v="2"/>
    <x v="4"/>
    <x v="7"/>
    <x v="25"/>
    <x v="8"/>
    <x v="22"/>
    <x v="4"/>
  </r>
  <r>
    <x v="514"/>
    <x v="2"/>
    <x v="1"/>
    <x v="2"/>
    <x v="2"/>
    <x v="4"/>
    <x v="7"/>
    <x v="30"/>
    <x v="6"/>
    <x v="26"/>
    <x v="4"/>
  </r>
  <r>
    <x v="515"/>
    <x v="2"/>
    <x v="4"/>
    <x v="1"/>
    <x v="2"/>
    <x v="3"/>
    <x v="3"/>
    <x v="62"/>
    <x v="8"/>
    <x v="49"/>
    <x v="4"/>
  </r>
  <r>
    <x v="516"/>
    <x v="3"/>
    <x v="2"/>
    <x v="0"/>
    <x v="3"/>
    <x v="1"/>
    <x v="8"/>
    <x v="9"/>
    <x v="7"/>
    <x v="9"/>
    <x v="4"/>
  </r>
  <r>
    <x v="517"/>
    <x v="4"/>
    <x v="3"/>
    <x v="2"/>
    <x v="4"/>
    <x v="2"/>
    <x v="19"/>
    <x v="79"/>
    <x v="17"/>
    <x v="16"/>
    <x v="5"/>
  </r>
  <r>
    <x v="518"/>
    <x v="1"/>
    <x v="2"/>
    <x v="2"/>
    <x v="1"/>
    <x v="2"/>
    <x v="2"/>
    <x v="78"/>
    <x v="12"/>
    <x v="59"/>
    <x v="5"/>
  </r>
  <r>
    <x v="519"/>
    <x v="1"/>
    <x v="1"/>
    <x v="2"/>
    <x v="1"/>
    <x v="4"/>
    <x v="21"/>
    <x v="75"/>
    <x v="12"/>
    <x v="57"/>
    <x v="5"/>
  </r>
  <r>
    <x v="520"/>
    <x v="4"/>
    <x v="2"/>
    <x v="0"/>
    <x v="4"/>
    <x v="3"/>
    <x v="11"/>
    <x v="31"/>
    <x v="10"/>
    <x v="18"/>
    <x v="5"/>
  </r>
  <r>
    <x v="521"/>
    <x v="4"/>
    <x v="4"/>
    <x v="1"/>
    <x v="4"/>
    <x v="3"/>
    <x v="11"/>
    <x v="17"/>
    <x v="11"/>
    <x v="11"/>
    <x v="5"/>
  </r>
  <r>
    <x v="522"/>
    <x v="3"/>
    <x v="4"/>
    <x v="3"/>
    <x v="3"/>
    <x v="1"/>
    <x v="8"/>
    <x v="45"/>
    <x v="14"/>
    <x v="20"/>
    <x v="5"/>
  </r>
  <r>
    <x v="523"/>
    <x v="0"/>
    <x v="0"/>
    <x v="3"/>
    <x v="0"/>
    <x v="3"/>
    <x v="20"/>
    <x v="40"/>
    <x v="16"/>
    <x v="33"/>
    <x v="5"/>
  </r>
  <r>
    <x v="524"/>
    <x v="4"/>
    <x v="4"/>
    <x v="2"/>
    <x v="4"/>
    <x v="2"/>
    <x v="19"/>
    <x v="79"/>
    <x v="17"/>
    <x v="16"/>
    <x v="5"/>
  </r>
  <r>
    <x v="525"/>
    <x v="4"/>
    <x v="4"/>
    <x v="3"/>
    <x v="4"/>
    <x v="2"/>
    <x v="19"/>
    <x v="48"/>
    <x v="9"/>
    <x v="38"/>
    <x v="5"/>
  </r>
  <r>
    <x v="526"/>
    <x v="4"/>
    <x v="1"/>
    <x v="2"/>
    <x v="4"/>
    <x v="2"/>
    <x v="19"/>
    <x v="79"/>
    <x v="17"/>
    <x v="16"/>
    <x v="5"/>
  </r>
  <r>
    <x v="527"/>
    <x v="1"/>
    <x v="3"/>
    <x v="1"/>
    <x v="1"/>
    <x v="4"/>
    <x v="21"/>
    <x v="42"/>
    <x v="1"/>
    <x v="35"/>
    <x v="5"/>
  </r>
  <r>
    <x v="528"/>
    <x v="1"/>
    <x v="3"/>
    <x v="2"/>
    <x v="1"/>
    <x v="2"/>
    <x v="2"/>
    <x v="78"/>
    <x v="12"/>
    <x v="59"/>
    <x v="5"/>
  </r>
  <r>
    <x v="529"/>
    <x v="0"/>
    <x v="3"/>
    <x v="2"/>
    <x v="0"/>
    <x v="3"/>
    <x v="20"/>
    <x v="4"/>
    <x v="4"/>
    <x v="4"/>
    <x v="5"/>
  </r>
  <r>
    <x v="530"/>
    <x v="2"/>
    <x v="4"/>
    <x v="3"/>
    <x v="2"/>
    <x v="4"/>
    <x v="7"/>
    <x v="12"/>
    <x v="0"/>
    <x v="12"/>
    <x v="5"/>
  </r>
  <r>
    <x v="531"/>
    <x v="4"/>
    <x v="2"/>
    <x v="0"/>
    <x v="4"/>
    <x v="3"/>
    <x v="11"/>
    <x v="31"/>
    <x v="10"/>
    <x v="18"/>
    <x v="5"/>
  </r>
  <r>
    <x v="532"/>
    <x v="1"/>
    <x v="2"/>
    <x v="0"/>
    <x v="1"/>
    <x v="0"/>
    <x v="14"/>
    <x v="47"/>
    <x v="3"/>
    <x v="37"/>
    <x v="5"/>
  </r>
  <r>
    <x v="533"/>
    <x v="4"/>
    <x v="2"/>
    <x v="3"/>
    <x v="4"/>
    <x v="0"/>
    <x v="15"/>
    <x v="23"/>
    <x v="9"/>
    <x v="20"/>
    <x v="5"/>
  </r>
  <r>
    <x v="534"/>
    <x v="0"/>
    <x v="3"/>
    <x v="3"/>
    <x v="0"/>
    <x v="1"/>
    <x v="10"/>
    <x v="76"/>
    <x v="16"/>
    <x v="58"/>
    <x v="5"/>
  </r>
  <r>
    <x v="535"/>
    <x v="0"/>
    <x v="3"/>
    <x v="2"/>
    <x v="0"/>
    <x v="1"/>
    <x v="10"/>
    <x v="20"/>
    <x v="4"/>
    <x v="18"/>
    <x v="5"/>
  </r>
  <r>
    <x v="536"/>
    <x v="0"/>
    <x v="0"/>
    <x v="2"/>
    <x v="0"/>
    <x v="4"/>
    <x v="18"/>
    <x v="8"/>
    <x v="4"/>
    <x v="8"/>
    <x v="5"/>
  </r>
  <r>
    <x v="537"/>
    <x v="3"/>
    <x v="0"/>
    <x v="1"/>
    <x v="3"/>
    <x v="3"/>
    <x v="16"/>
    <x v="83"/>
    <x v="13"/>
    <x v="23"/>
    <x v="5"/>
  </r>
  <r>
    <x v="538"/>
    <x v="3"/>
    <x v="1"/>
    <x v="3"/>
    <x v="3"/>
    <x v="4"/>
    <x v="22"/>
    <x v="85"/>
    <x v="14"/>
    <x v="61"/>
    <x v="5"/>
  </r>
  <r>
    <x v="539"/>
    <x v="2"/>
    <x v="2"/>
    <x v="2"/>
    <x v="2"/>
    <x v="0"/>
    <x v="5"/>
    <x v="29"/>
    <x v="6"/>
    <x v="25"/>
    <x v="5"/>
  </r>
  <r>
    <x v="540"/>
    <x v="1"/>
    <x v="2"/>
    <x v="1"/>
    <x v="1"/>
    <x v="0"/>
    <x v="14"/>
    <x v="22"/>
    <x v="1"/>
    <x v="19"/>
    <x v="5"/>
  </r>
  <r>
    <x v="541"/>
    <x v="4"/>
    <x v="0"/>
    <x v="2"/>
    <x v="4"/>
    <x v="4"/>
    <x v="12"/>
    <x v="87"/>
    <x v="17"/>
    <x v="63"/>
    <x v="5"/>
  </r>
  <r>
    <x v="542"/>
    <x v="4"/>
    <x v="4"/>
    <x v="2"/>
    <x v="4"/>
    <x v="1"/>
    <x v="24"/>
    <x v="65"/>
    <x v="17"/>
    <x v="51"/>
    <x v="5"/>
  </r>
  <r>
    <x v="543"/>
    <x v="3"/>
    <x v="2"/>
    <x v="2"/>
    <x v="3"/>
    <x v="2"/>
    <x v="4"/>
    <x v="5"/>
    <x v="5"/>
    <x v="5"/>
    <x v="5"/>
  </r>
  <r>
    <x v="544"/>
    <x v="0"/>
    <x v="1"/>
    <x v="0"/>
    <x v="0"/>
    <x v="0"/>
    <x v="0"/>
    <x v="0"/>
    <x v="0"/>
    <x v="0"/>
    <x v="5"/>
  </r>
  <r>
    <x v="545"/>
    <x v="0"/>
    <x v="1"/>
    <x v="2"/>
    <x v="0"/>
    <x v="2"/>
    <x v="17"/>
    <x v="28"/>
    <x v="4"/>
    <x v="24"/>
    <x v="5"/>
  </r>
  <r>
    <x v="546"/>
    <x v="0"/>
    <x v="4"/>
    <x v="3"/>
    <x v="0"/>
    <x v="1"/>
    <x v="10"/>
    <x v="76"/>
    <x v="16"/>
    <x v="58"/>
    <x v="5"/>
  </r>
  <r>
    <x v="547"/>
    <x v="4"/>
    <x v="4"/>
    <x v="2"/>
    <x v="4"/>
    <x v="3"/>
    <x v="11"/>
    <x v="46"/>
    <x v="17"/>
    <x v="6"/>
    <x v="6"/>
  </r>
  <r>
    <x v="548"/>
    <x v="3"/>
    <x v="0"/>
    <x v="0"/>
    <x v="3"/>
    <x v="3"/>
    <x v="16"/>
    <x v="80"/>
    <x v="7"/>
    <x v="31"/>
    <x v="6"/>
  </r>
  <r>
    <x v="549"/>
    <x v="3"/>
    <x v="1"/>
    <x v="1"/>
    <x v="3"/>
    <x v="0"/>
    <x v="13"/>
    <x v="19"/>
    <x v="13"/>
    <x v="17"/>
    <x v="6"/>
  </r>
  <r>
    <x v="550"/>
    <x v="1"/>
    <x v="4"/>
    <x v="2"/>
    <x v="1"/>
    <x v="0"/>
    <x v="14"/>
    <x v="39"/>
    <x v="12"/>
    <x v="5"/>
    <x v="6"/>
  </r>
  <r>
    <x v="551"/>
    <x v="3"/>
    <x v="2"/>
    <x v="3"/>
    <x v="3"/>
    <x v="0"/>
    <x v="13"/>
    <x v="89"/>
    <x v="14"/>
    <x v="65"/>
    <x v="6"/>
  </r>
  <r>
    <x v="552"/>
    <x v="4"/>
    <x v="3"/>
    <x v="1"/>
    <x v="4"/>
    <x v="4"/>
    <x v="12"/>
    <x v="82"/>
    <x v="11"/>
    <x v="60"/>
    <x v="6"/>
  </r>
  <r>
    <x v="553"/>
    <x v="0"/>
    <x v="3"/>
    <x v="3"/>
    <x v="0"/>
    <x v="1"/>
    <x v="10"/>
    <x v="76"/>
    <x v="16"/>
    <x v="58"/>
    <x v="6"/>
  </r>
  <r>
    <x v="554"/>
    <x v="2"/>
    <x v="4"/>
    <x v="3"/>
    <x v="2"/>
    <x v="1"/>
    <x v="6"/>
    <x v="7"/>
    <x v="0"/>
    <x v="7"/>
    <x v="6"/>
  </r>
  <r>
    <x v="555"/>
    <x v="4"/>
    <x v="4"/>
    <x v="0"/>
    <x v="4"/>
    <x v="2"/>
    <x v="19"/>
    <x v="36"/>
    <x v="10"/>
    <x v="21"/>
    <x v="6"/>
  </r>
  <r>
    <x v="556"/>
    <x v="3"/>
    <x v="0"/>
    <x v="3"/>
    <x v="3"/>
    <x v="3"/>
    <x v="16"/>
    <x v="26"/>
    <x v="14"/>
    <x v="0"/>
    <x v="6"/>
  </r>
  <r>
    <x v="557"/>
    <x v="4"/>
    <x v="3"/>
    <x v="3"/>
    <x v="4"/>
    <x v="2"/>
    <x v="19"/>
    <x v="48"/>
    <x v="9"/>
    <x v="38"/>
    <x v="6"/>
  </r>
  <r>
    <x v="558"/>
    <x v="0"/>
    <x v="4"/>
    <x v="0"/>
    <x v="0"/>
    <x v="4"/>
    <x v="18"/>
    <x v="12"/>
    <x v="0"/>
    <x v="12"/>
    <x v="6"/>
  </r>
  <r>
    <x v="559"/>
    <x v="4"/>
    <x v="3"/>
    <x v="0"/>
    <x v="4"/>
    <x v="1"/>
    <x v="24"/>
    <x v="68"/>
    <x v="10"/>
    <x v="54"/>
    <x v="6"/>
  </r>
  <r>
    <x v="560"/>
    <x v="4"/>
    <x v="2"/>
    <x v="1"/>
    <x v="4"/>
    <x v="1"/>
    <x v="24"/>
    <x v="67"/>
    <x v="11"/>
    <x v="53"/>
    <x v="6"/>
  </r>
  <r>
    <x v="561"/>
    <x v="2"/>
    <x v="1"/>
    <x v="0"/>
    <x v="2"/>
    <x v="4"/>
    <x v="7"/>
    <x v="8"/>
    <x v="4"/>
    <x v="8"/>
    <x v="6"/>
  </r>
  <r>
    <x v="562"/>
    <x v="0"/>
    <x v="2"/>
    <x v="0"/>
    <x v="0"/>
    <x v="4"/>
    <x v="18"/>
    <x v="12"/>
    <x v="0"/>
    <x v="12"/>
    <x v="6"/>
  </r>
  <r>
    <x v="563"/>
    <x v="3"/>
    <x v="3"/>
    <x v="3"/>
    <x v="3"/>
    <x v="4"/>
    <x v="22"/>
    <x v="85"/>
    <x v="14"/>
    <x v="61"/>
    <x v="6"/>
  </r>
  <r>
    <x v="564"/>
    <x v="0"/>
    <x v="0"/>
    <x v="0"/>
    <x v="0"/>
    <x v="2"/>
    <x v="17"/>
    <x v="49"/>
    <x v="0"/>
    <x v="39"/>
    <x v="6"/>
  </r>
  <r>
    <x v="565"/>
    <x v="0"/>
    <x v="2"/>
    <x v="2"/>
    <x v="0"/>
    <x v="2"/>
    <x v="17"/>
    <x v="28"/>
    <x v="4"/>
    <x v="24"/>
    <x v="6"/>
  </r>
  <r>
    <x v="566"/>
    <x v="3"/>
    <x v="2"/>
    <x v="3"/>
    <x v="3"/>
    <x v="3"/>
    <x v="16"/>
    <x v="26"/>
    <x v="14"/>
    <x v="0"/>
    <x v="6"/>
  </r>
  <r>
    <x v="567"/>
    <x v="0"/>
    <x v="0"/>
    <x v="3"/>
    <x v="0"/>
    <x v="3"/>
    <x v="20"/>
    <x v="40"/>
    <x v="16"/>
    <x v="33"/>
    <x v="6"/>
  </r>
  <r>
    <x v="568"/>
    <x v="0"/>
    <x v="2"/>
    <x v="0"/>
    <x v="0"/>
    <x v="2"/>
    <x v="17"/>
    <x v="49"/>
    <x v="0"/>
    <x v="39"/>
    <x v="6"/>
  </r>
  <r>
    <x v="569"/>
    <x v="1"/>
    <x v="1"/>
    <x v="3"/>
    <x v="1"/>
    <x v="2"/>
    <x v="2"/>
    <x v="43"/>
    <x v="15"/>
    <x v="36"/>
    <x v="6"/>
  </r>
  <r>
    <x v="570"/>
    <x v="2"/>
    <x v="3"/>
    <x v="2"/>
    <x v="2"/>
    <x v="0"/>
    <x v="5"/>
    <x v="29"/>
    <x v="6"/>
    <x v="25"/>
    <x v="6"/>
  </r>
  <r>
    <x v="571"/>
    <x v="4"/>
    <x v="1"/>
    <x v="0"/>
    <x v="4"/>
    <x v="1"/>
    <x v="24"/>
    <x v="68"/>
    <x v="10"/>
    <x v="54"/>
    <x v="6"/>
  </r>
  <r>
    <x v="572"/>
    <x v="2"/>
    <x v="0"/>
    <x v="2"/>
    <x v="2"/>
    <x v="0"/>
    <x v="5"/>
    <x v="29"/>
    <x v="6"/>
    <x v="25"/>
    <x v="6"/>
  </r>
  <r>
    <x v="573"/>
    <x v="0"/>
    <x v="0"/>
    <x v="1"/>
    <x v="0"/>
    <x v="1"/>
    <x v="10"/>
    <x v="13"/>
    <x v="2"/>
    <x v="13"/>
    <x v="6"/>
  </r>
  <r>
    <x v="574"/>
    <x v="2"/>
    <x v="0"/>
    <x v="1"/>
    <x v="2"/>
    <x v="2"/>
    <x v="9"/>
    <x v="10"/>
    <x v="8"/>
    <x v="10"/>
    <x v="6"/>
  </r>
  <r>
    <x v="575"/>
    <x v="3"/>
    <x v="0"/>
    <x v="0"/>
    <x v="3"/>
    <x v="3"/>
    <x v="16"/>
    <x v="80"/>
    <x v="7"/>
    <x v="31"/>
    <x v="6"/>
  </r>
  <r>
    <x v="576"/>
    <x v="4"/>
    <x v="3"/>
    <x v="1"/>
    <x v="4"/>
    <x v="3"/>
    <x v="11"/>
    <x v="17"/>
    <x v="11"/>
    <x v="11"/>
    <x v="6"/>
  </r>
  <r>
    <x v="577"/>
    <x v="2"/>
    <x v="2"/>
    <x v="1"/>
    <x v="2"/>
    <x v="4"/>
    <x v="7"/>
    <x v="25"/>
    <x v="8"/>
    <x v="22"/>
    <x v="6"/>
  </r>
  <r>
    <x v="578"/>
    <x v="3"/>
    <x v="1"/>
    <x v="2"/>
    <x v="3"/>
    <x v="3"/>
    <x v="16"/>
    <x v="44"/>
    <x v="5"/>
    <x v="25"/>
    <x v="7"/>
  </r>
  <r>
    <x v="579"/>
    <x v="1"/>
    <x v="3"/>
    <x v="1"/>
    <x v="1"/>
    <x v="0"/>
    <x v="14"/>
    <x v="22"/>
    <x v="1"/>
    <x v="19"/>
    <x v="7"/>
  </r>
  <r>
    <x v="580"/>
    <x v="0"/>
    <x v="2"/>
    <x v="2"/>
    <x v="0"/>
    <x v="2"/>
    <x v="17"/>
    <x v="28"/>
    <x v="4"/>
    <x v="24"/>
    <x v="7"/>
  </r>
  <r>
    <x v="581"/>
    <x v="4"/>
    <x v="3"/>
    <x v="0"/>
    <x v="4"/>
    <x v="4"/>
    <x v="12"/>
    <x v="16"/>
    <x v="10"/>
    <x v="15"/>
    <x v="7"/>
  </r>
  <r>
    <x v="582"/>
    <x v="2"/>
    <x v="3"/>
    <x v="0"/>
    <x v="2"/>
    <x v="2"/>
    <x v="9"/>
    <x v="28"/>
    <x v="4"/>
    <x v="24"/>
    <x v="7"/>
  </r>
  <r>
    <x v="583"/>
    <x v="2"/>
    <x v="4"/>
    <x v="0"/>
    <x v="2"/>
    <x v="2"/>
    <x v="9"/>
    <x v="28"/>
    <x v="4"/>
    <x v="24"/>
    <x v="7"/>
  </r>
  <r>
    <x v="584"/>
    <x v="1"/>
    <x v="2"/>
    <x v="2"/>
    <x v="1"/>
    <x v="2"/>
    <x v="2"/>
    <x v="78"/>
    <x v="12"/>
    <x v="59"/>
    <x v="7"/>
  </r>
  <r>
    <x v="585"/>
    <x v="0"/>
    <x v="0"/>
    <x v="0"/>
    <x v="0"/>
    <x v="4"/>
    <x v="18"/>
    <x v="12"/>
    <x v="0"/>
    <x v="12"/>
    <x v="7"/>
  </r>
  <r>
    <x v="586"/>
    <x v="1"/>
    <x v="2"/>
    <x v="1"/>
    <x v="1"/>
    <x v="4"/>
    <x v="21"/>
    <x v="42"/>
    <x v="1"/>
    <x v="35"/>
    <x v="7"/>
  </r>
  <r>
    <x v="587"/>
    <x v="1"/>
    <x v="4"/>
    <x v="3"/>
    <x v="1"/>
    <x v="0"/>
    <x v="14"/>
    <x v="33"/>
    <x v="15"/>
    <x v="28"/>
    <x v="7"/>
  </r>
  <r>
    <x v="588"/>
    <x v="1"/>
    <x v="0"/>
    <x v="3"/>
    <x v="1"/>
    <x v="2"/>
    <x v="2"/>
    <x v="43"/>
    <x v="15"/>
    <x v="36"/>
    <x v="7"/>
  </r>
  <r>
    <x v="589"/>
    <x v="2"/>
    <x v="0"/>
    <x v="1"/>
    <x v="2"/>
    <x v="1"/>
    <x v="6"/>
    <x v="11"/>
    <x v="8"/>
    <x v="11"/>
    <x v="7"/>
  </r>
  <r>
    <x v="590"/>
    <x v="1"/>
    <x v="4"/>
    <x v="0"/>
    <x v="1"/>
    <x v="2"/>
    <x v="2"/>
    <x v="3"/>
    <x v="3"/>
    <x v="3"/>
    <x v="7"/>
  </r>
  <r>
    <x v="591"/>
    <x v="2"/>
    <x v="3"/>
    <x v="1"/>
    <x v="2"/>
    <x v="2"/>
    <x v="9"/>
    <x v="10"/>
    <x v="8"/>
    <x v="10"/>
    <x v="7"/>
  </r>
  <r>
    <x v="592"/>
    <x v="2"/>
    <x v="1"/>
    <x v="0"/>
    <x v="2"/>
    <x v="2"/>
    <x v="9"/>
    <x v="28"/>
    <x v="4"/>
    <x v="24"/>
    <x v="7"/>
  </r>
  <r>
    <x v="593"/>
    <x v="2"/>
    <x v="2"/>
    <x v="0"/>
    <x v="2"/>
    <x v="2"/>
    <x v="9"/>
    <x v="28"/>
    <x v="4"/>
    <x v="24"/>
    <x v="7"/>
  </r>
  <r>
    <x v="594"/>
    <x v="3"/>
    <x v="1"/>
    <x v="1"/>
    <x v="3"/>
    <x v="1"/>
    <x v="8"/>
    <x v="41"/>
    <x v="13"/>
    <x v="34"/>
    <x v="7"/>
  </r>
  <r>
    <x v="595"/>
    <x v="0"/>
    <x v="0"/>
    <x v="1"/>
    <x v="0"/>
    <x v="2"/>
    <x v="17"/>
    <x v="38"/>
    <x v="2"/>
    <x v="32"/>
    <x v="7"/>
  </r>
  <r>
    <x v="596"/>
    <x v="4"/>
    <x v="3"/>
    <x v="0"/>
    <x v="4"/>
    <x v="0"/>
    <x v="15"/>
    <x v="81"/>
    <x v="10"/>
    <x v="9"/>
    <x v="7"/>
  </r>
  <r>
    <x v="597"/>
    <x v="0"/>
    <x v="0"/>
    <x v="3"/>
    <x v="0"/>
    <x v="1"/>
    <x v="10"/>
    <x v="76"/>
    <x v="16"/>
    <x v="58"/>
    <x v="7"/>
  </r>
  <r>
    <x v="598"/>
    <x v="4"/>
    <x v="2"/>
    <x v="1"/>
    <x v="4"/>
    <x v="3"/>
    <x v="11"/>
    <x v="17"/>
    <x v="11"/>
    <x v="11"/>
    <x v="7"/>
  </r>
  <r>
    <x v="599"/>
    <x v="0"/>
    <x v="2"/>
    <x v="3"/>
    <x v="0"/>
    <x v="1"/>
    <x v="10"/>
    <x v="76"/>
    <x v="16"/>
    <x v="58"/>
    <x v="7"/>
  </r>
  <r>
    <x v="600"/>
    <x v="3"/>
    <x v="3"/>
    <x v="1"/>
    <x v="3"/>
    <x v="2"/>
    <x v="4"/>
    <x v="21"/>
    <x v="13"/>
    <x v="19"/>
    <x v="7"/>
  </r>
  <r>
    <x v="601"/>
    <x v="1"/>
    <x v="0"/>
    <x v="0"/>
    <x v="1"/>
    <x v="1"/>
    <x v="1"/>
    <x v="24"/>
    <x v="3"/>
    <x v="21"/>
    <x v="7"/>
  </r>
  <r>
    <x v="602"/>
    <x v="0"/>
    <x v="3"/>
    <x v="3"/>
    <x v="0"/>
    <x v="3"/>
    <x v="20"/>
    <x v="40"/>
    <x v="16"/>
    <x v="33"/>
    <x v="7"/>
  </r>
  <r>
    <x v="603"/>
    <x v="3"/>
    <x v="4"/>
    <x v="0"/>
    <x v="3"/>
    <x v="4"/>
    <x v="22"/>
    <x v="50"/>
    <x v="7"/>
    <x v="40"/>
    <x v="7"/>
  </r>
  <r>
    <x v="604"/>
    <x v="3"/>
    <x v="1"/>
    <x v="2"/>
    <x v="3"/>
    <x v="4"/>
    <x v="22"/>
    <x v="66"/>
    <x v="5"/>
    <x v="52"/>
    <x v="7"/>
  </r>
  <r>
    <x v="605"/>
    <x v="3"/>
    <x v="3"/>
    <x v="1"/>
    <x v="3"/>
    <x v="4"/>
    <x v="22"/>
    <x v="88"/>
    <x v="13"/>
    <x v="64"/>
    <x v="7"/>
  </r>
  <r>
    <x v="606"/>
    <x v="4"/>
    <x v="1"/>
    <x v="1"/>
    <x v="4"/>
    <x v="0"/>
    <x v="15"/>
    <x v="63"/>
    <x v="11"/>
    <x v="34"/>
    <x v="7"/>
  </r>
  <r>
    <x v="607"/>
    <x v="2"/>
    <x v="1"/>
    <x v="2"/>
    <x v="2"/>
    <x v="3"/>
    <x v="3"/>
    <x v="35"/>
    <x v="6"/>
    <x v="30"/>
    <x v="7"/>
  </r>
  <r>
    <x v="608"/>
    <x v="2"/>
    <x v="4"/>
    <x v="0"/>
    <x v="2"/>
    <x v="3"/>
    <x v="3"/>
    <x v="4"/>
    <x v="4"/>
    <x v="4"/>
    <x v="7"/>
  </r>
  <r>
    <x v="609"/>
    <x v="2"/>
    <x v="1"/>
    <x v="0"/>
    <x v="2"/>
    <x v="2"/>
    <x v="9"/>
    <x v="28"/>
    <x v="4"/>
    <x v="24"/>
    <x v="8"/>
  </r>
  <r>
    <x v="610"/>
    <x v="3"/>
    <x v="4"/>
    <x v="0"/>
    <x v="3"/>
    <x v="2"/>
    <x v="4"/>
    <x v="71"/>
    <x v="7"/>
    <x v="37"/>
    <x v="8"/>
  </r>
  <r>
    <x v="611"/>
    <x v="3"/>
    <x v="2"/>
    <x v="1"/>
    <x v="3"/>
    <x v="3"/>
    <x v="16"/>
    <x v="83"/>
    <x v="13"/>
    <x v="23"/>
    <x v="8"/>
  </r>
  <r>
    <x v="612"/>
    <x v="3"/>
    <x v="2"/>
    <x v="0"/>
    <x v="3"/>
    <x v="0"/>
    <x v="13"/>
    <x v="59"/>
    <x v="7"/>
    <x v="46"/>
    <x v="8"/>
  </r>
  <r>
    <x v="613"/>
    <x v="2"/>
    <x v="3"/>
    <x v="0"/>
    <x v="2"/>
    <x v="4"/>
    <x v="7"/>
    <x v="8"/>
    <x v="4"/>
    <x v="8"/>
    <x v="8"/>
  </r>
  <r>
    <x v="614"/>
    <x v="0"/>
    <x v="1"/>
    <x v="0"/>
    <x v="0"/>
    <x v="4"/>
    <x v="18"/>
    <x v="12"/>
    <x v="0"/>
    <x v="12"/>
    <x v="8"/>
  </r>
  <r>
    <x v="615"/>
    <x v="1"/>
    <x v="3"/>
    <x v="0"/>
    <x v="1"/>
    <x v="3"/>
    <x v="23"/>
    <x v="72"/>
    <x v="3"/>
    <x v="24"/>
    <x v="8"/>
  </r>
  <r>
    <x v="616"/>
    <x v="4"/>
    <x v="4"/>
    <x v="3"/>
    <x v="4"/>
    <x v="1"/>
    <x v="24"/>
    <x v="86"/>
    <x v="9"/>
    <x v="62"/>
    <x v="8"/>
  </r>
  <r>
    <x v="617"/>
    <x v="1"/>
    <x v="4"/>
    <x v="2"/>
    <x v="1"/>
    <x v="1"/>
    <x v="1"/>
    <x v="18"/>
    <x v="12"/>
    <x v="16"/>
    <x v="8"/>
  </r>
  <r>
    <x v="618"/>
    <x v="2"/>
    <x v="2"/>
    <x v="2"/>
    <x v="2"/>
    <x v="3"/>
    <x v="3"/>
    <x v="35"/>
    <x v="6"/>
    <x v="30"/>
    <x v="8"/>
  </r>
  <r>
    <x v="619"/>
    <x v="2"/>
    <x v="3"/>
    <x v="3"/>
    <x v="2"/>
    <x v="2"/>
    <x v="9"/>
    <x v="49"/>
    <x v="0"/>
    <x v="39"/>
    <x v="8"/>
  </r>
  <r>
    <x v="620"/>
    <x v="0"/>
    <x v="0"/>
    <x v="2"/>
    <x v="0"/>
    <x v="0"/>
    <x v="0"/>
    <x v="37"/>
    <x v="4"/>
    <x v="31"/>
    <x v="8"/>
  </r>
  <r>
    <x v="621"/>
    <x v="0"/>
    <x v="2"/>
    <x v="2"/>
    <x v="0"/>
    <x v="0"/>
    <x v="0"/>
    <x v="37"/>
    <x v="4"/>
    <x v="31"/>
    <x v="8"/>
  </r>
  <r>
    <x v="622"/>
    <x v="0"/>
    <x v="1"/>
    <x v="1"/>
    <x v="0"/>
    <x v="0"/>
    <x v="0"/>
    <x v="2"/>
    <x v="2"/>
    <x v="2"/>
    <x v="8"/>
  </r>
  <r>
    <x v="623"/>
    <x v="4"/>
    <x v="4"/>
    <x v="2"/>
    <x v="4"/>
    <x v="3"/>
    <x v="11"/>
    <x v="46"/>
    <x v="17"/>
    <x v="6"/>
    <x v="8"/>
  </r>
  <r>
    <x v="624"/>
    <x v="2"/>
    <x v="0"/>
    <x v="3"/>
    <x v="2"/>
    <x v="3"/>
    <x v="3"/>
    <x v="14"/>
    <x v="0"/>
    <x v="14"/>
    <x v="8"/>
  </r>
  <r>
    <x v="625"/>
    <x v="3"/>
    <x v="2"/>
    <x v="0"/>
    <x v="3"/>
    <x v="0"/>
    <x v="13"/>
    <x v="59"/>
    <x v="7"/>
    <x v="46"/>
    <x v="8"/>
  </r>
  <r>
    <x v="626"/>
    <x v="4"/>
    <x v="4"/>
    <x v="0"/>
    <x v="4"/>
    <x v="0"/>
    <x v="15"/>
    <x v="81"/>
    <x v="10"/>
    <x v="9"/>
    <x v="8"/>
  </r>
  <r>
    <x v="627"/>
    <x v="2"/>
    <x v="3"/>
    <x v="3"/>
    <x v="2"/>
    <x v="3"/>
    <x v="3"/>
    <x v="14"/>
    <x v="0"/>
    <x v="14"/>
    <x v="8"/>
  </r>
  <r>
    <x v="628"/>
    <x v="0"/>
    <x v="4"/>
    <x v="3"/>
    <x v="0"/>
    <x v="3"/>
    <x v="20"/>
    <x v="40"/>
    <x v="16"/>
    <x v="33"/>
    <x v="8"/>
  </r>
  <r>
    <x v="629"/>
    <x v="1"/>
    <x v="2"/>
    <x v="3"/>
    <x v="1"/>
    <x v="3"/>
    <x v="23"/>
    <x v="58"/>
    <x v="15"/>
    <x v="39"/>
    <x v="8"/>
  </r>
  <r>
    <x v="630"/>
    <x v="3"/>
    <x v="2"/>
    <x v="2"/>
    <x v="3"/>
    <x v="4"/>
    <x v="22"/>
    <x v="66"/>
    <x v="5"/>
    <x v="52"/>
    <x v="8"/>
  </r>
  <r>
    <x v="631"/>
    <x v="1"/>
    <x v="3"/>
    <x v="2"/>
    <x v="1"/>
    <x v="2"/>
    <x v="2"/>
    <x v="78"/>
    <x v="12"/>
    <x v="59"/>
    <x v="8"/>
  </r>
  <r>
    <x v="632"/>
    <x v="2"/>
    <x v="1"/>
    <x v="1"/>
    <x v="2"/>
    <x v="2"/>
    <x v="9"/>
    <x v="10"/>
    <x v="8"/>
    <x v="10"/>
    <x v="8"/>
  </r>
  <r>
    <x v="633"/>
    <x v="0"/>
    <x v="1"/>
    <x v="3"/>
    <x v="0"/>
    <x v="0"/>
    <x v="0"/>
    <x v="73"/>
    <x v="16"/>
    <x v="56"/>
    <x v="8"/>
  </r>
  <r>
    <x v="634"/>
    <x v="1"/>
    <x v="3"/>
    <x v="1"/>
    <x v="1"/>
    <x v="1"/>
    <x v="1"/>
    <x v="1"/>
    <x v="1"/>
    <x v="1"/>
    <x v="8"/>
  </r>
  <r>
    <x v="635"/>
    <x v="1"/>
    <x v="4"/>
    <x v="1"/>
    <x v="1"/>
    <x v="3"/>
    <x v="23"/>
    <x v="74"/>
    <x v="1"/>
    <x v="10"/>
    <x v="8"/>
  </r>
  <r>
    <x v="636"/>
    <x v="1"/>
    <x v="4"/>
    <x v="1"/>
    <x v="1"/>
    <x v="0"/>
    <x v="14"/>
    <x v="22"/>
    <x v="1"/>
    <x v="19"/>
    <x v="8"/>
  </r>
  <r>
    <x v="637"/>
    <x v="0"/>
    <x v="1"/>
    <x v="3"/>
    <x v="0"/>
    <x v="4"/>
    <x v="18"/>
    <x v="53"/>
    <x v="16"/>
    <x v="42"/>
    <x v="8"/>
  </r>
  <r>
    <x v="638"/>
    <x v="2"/>
    <x v="2"/>
    <x v="1"/>
    <x v="2"/>
    <x v="4"/>
    <x v="7"/>
    <x v="25"/>
    <x v="8"/>
    <x v="22"/>
    <x v="8"/>
  </r>
  <r>
    <x v="639"/>
    <x v="3"/>
    <x v="4"/>
    <x v="1"/>
    <x v="3"/>
    <x v="1"/>
    <x v="8"/>
    <x v="41"/>
    <x v="13"/>
    <x v="34"/>
    <x v="9"/>
  </r>
  <r>
    <x v="640"/>
    <x v="3"/>
    <x v="2"/>
    <x v="1"/>
    <x v="3"/>
    <x v="0"/>
    <x v="13"/>
    <x v="19"/>
    <x v="13"/>
    <x v="17"/>
    <x v="9"/>
  </r>
  <r>
    <x v="641"/>
    <x v="0"/>
    <x v="4"/>
    <x v="0"/>
    <x v="0"/>
    <x v="4"/>
    <x v="18"/>
    <x v="12"/>
    <x v="0"/>
    <x v="12"/>
    <x v="9"/>
  </r>
  <r>
    <x v="642"/>
    <x v="4"/>
    <x v="1"/>
    <x v="0"/>
    <x v="4"/>
    <x v="3"/>
    <x v="11"/>
    <x v="31"/>
    <x v="10"/>
    <x v="18"/>
    <x v="9"/>
  </r>
  <r>
    <x v="643"/>
    <x v="3"/>
    <x v="0"/>
    <x v="1"/>
    <x v="3"/>
    <x v="2"/>
    <x v="4"/>
    <x v="21"/>
    <x v="13"/>
    <x v="19"/>
    <x v="9"/>
  </r>
  <r>
    <x v="644"/>
    <x v="4"/>
    <x v="2"/>
    <x v="1"/>
    <x v="4"/>
    <x v="1"/>
    <x v="24"/>
    <x v="67"/>
    <x v="11"/>
    <x v="53"/>
    <x v="9"/>
  </r>
  <r>
    <x v="645"/>
    <x v="1"/>
    <x v="1"/>
    <x v="2"/>
    <x v="1"/>
    <x v="1"/>
    <x v="1"/>
    <x v="18"/>
    <x v="12"/>
    <x v="16"/>
    <x v="9"/>
  </r>
  <r>
    <x v="646"/>
    <x v="2"/>
    <x v="4"/>
    <x v="1"/>
    <x v="2"/>
    <x v="0"/>
    <x v="5"/>
    <x v="27"/>
    <x v="8"/>
    <x v="23"/>
    <x v="9"/>
  </r>
  <r>
    <x v="647"/>
    <x v="1"/>
    <x v="3"/>
    <x v="1"/>
    <x v="1"/>
    <x v="3"/>
    <x v="23"/>
    <x v="74"/>
    <x v="1"/>
    <x v="10"/>
    <x v="9"/>
  </r>
  <r>
    <x v="648"/>
    <x v="2"/>
    <x v="2"/>
    <x v="3"/>
    <x v="2"/>
    <x v="1"/>
    <x v="6"/>
    <x v="7"/>
    <x v="0"/>
    <x v="7"/>
    <x v="9"/>
  </r>
  <r>
    <x v="649"/>
    <x v="1"/>
    <x v="3"/>
    <x v="0"/>
    <x v="1"/>
    <x v="3"/>
    <x v="23"/>
    <x v="72"/>
    <x v="3"/>
    <x v="24"/>
    <x v="9"/>
  </r>
  <r>
    <x v="650"/>
    <x v="4"/>
    <x v="0"/>
    <x v="2"/>
    <x v="4"/>
    <x v="3"/>
    <x v="11"/>
    <x v="46"/>
    <x v="17"/>
    <x v="6"/>
    <x v="9"/>
  </r>
  <r>
    <x v="651"/>
    <x v="1"/>
    <x v="0"/>
    <x v="0"/>
    <x v="1"/>
    <x v="4"/>
    <x v="21"/>
    <x v="55"/>
    <x v="3"/>
    <x v="44"/>
    <x v="9"/>
  </r>
  <r>
    <x v="652"/>
    <x v="2"/>
    <x v="3"/>
    <x v="1"/>
    <x v="2"/>
    <x v="1"/>
    <x v="6"/>
    <x v="11"/>
    <x v="8"/>
    <x v="11"/>
    <x v="9"/>
  </r>
  <r>
    <x v="653"/>
    <x v="0"/>
    <x v="1"/>
    <x v="2"/>
    <x v="0"/>
    <x v="1"/>
    <x v="10"/>
    <x v="20"/>
    <x v="4"/>
    <x v="18"/>
    <x v="9"/>
  </r>
  <r>
    <x v="654"/>
    <x v="1"/>
    <x v="1"/>
    <x v="2"/>
    <x v="1"/>
    <x v="0"/>
    <x v="14"/>
    <x v="39"/>
    <x v="12"/>
    <x v="5"/>
    <x v="9"/>
  </r>
  <r>
    <x v="655"/>
    <x v="2"/>
    <x v="0"/>
    <x v="3"/>
    <x v="2"/>
    <x v="0"/>
    <x v="5"/>
    <x v="0"/>
    <x v="0"/>
    <x v="0"/>
    <x v="9"/>
  </r>
  <r>
    <x v="656"/>
    <x v="0"/>
    <x v="3"/>
    <x v="2"/>
    <x v="0"/>
    <x v="2"/>
    <x v="17"/>
    <x v="28"/>
    <x v="4"/>
    <x v="24"/>
    <x v="9"/>
  </r>
  <r>
    <x v="657"/>
    <x v="1"/>
    <x v="2"/>
    <x v="1"/>
    <x v="1"/>
    <x v="3"/>
    <x v="23"/>
    <x v="74"/>
    <x v="1"/>
    <x v="10"/>
    <x v="9"/>
  </r>
  <r>
    <x v="658"/>
    <x v="3"/>
    <x v="4"/>
    <x v="0"/>
    <x v="3"/>
    <x v="3"/>
    <x v="16"/>
    <x v="80"/>
    <x v="7"/>
    <x v="31"/>
    <x v="9"/>
  </r>
  <r>
    <x v="659"/>
    <x v="1"/>
    <x v="2"/>
    <x v="3"/>
    <x v="1"/>
    <x v="4"/>
    <x v="21"/>
    <x v="56"/>
    <x v="15"/>
    <x v="45"/>
    <x v="9"/>
  </r>
  <r>
    <x v="660"/>
    <x v="3"/>
    <x v="0"/>
    <x v="0"/>
    <x v="3"/>
    <x v="4"/>
    <x v="22"/>
    <x v="50"/>
    <x v="7"/>
    <x v="40"/>
    <x v="9"/>
  </r>
  <r>
    <x v="661"/>
    <x v="2"/>
    <x v="3"/>
    <x v="2"/>
    <x v="2"/>
    <x v="2"/>
    <x v="9"/>
    <x v="84"/>
    <x v="6"/>
    <x v="47"/>
    <x v="9"/>
  </r>
  <r>
    <x v="662"/>
    <x v="0"/>
    <x v="1"/>
    <x v="3"/>
    <x v="0"/>
    <x v="4"/>
    <x v="18"/>
    <x v="53"/>
    <x v="16"/>
    <x v="42"/>
    <x v="9"/>
  </r>
  <r>
    <x v="663"/>
    <x v="4"/>
    <x v="3"/>
    <x v="1"/>
    <x v="4"/>
    <x v="4"/>
    <x v="12"/>
    <x v="82"/>
    <x v="11"/>
    <x v="60"/>
    <x v="9"/>
  </r>
  <r>
    <x v="664"/>
    <x v="3"/>
    <x v="3"/>
    <x v="3"/>
    <x v="3"/>
    <x v="4"/>
    <x v="22"/>
    <x v="85"/>
    <x v="14"/>
    <x v="61"/>
    <x v="9"/>
  </r>
  <r>
    <x v="665"/>
    <x v="1"/>
    <x v="1"/>
    <x v="2"/>
    <x v="1"/>
    <x v="2"/>
    <x v="2"/>
    <x v="78"/>
    <x v="12"/>
    <x v="59"/>
    <x v="9"/>
  </r>
  <r>
    <x v="666"/>
    <x v="4"/>
    <x v="3"/>
    <x v="1"/>
    <x v="4"/>
    <x v="0"/>
    <x v="15"/>
    <x v="63"/>
    <x v="11"/>
    <x v="34"/>
    <x v="9"/>
  </r>
  <r>
    <x v="667"/>
    <x v="4"/>
    <x v="3"/>
    <x v="3"/>
    <x v="4"/>
    <x v="4"/>
    <x v="12"/>
    <x v="54"/>
    <x v="9"/>
    <x v="43"/>
    <x v="9"/>
  </r>
  <r>
    <x v="668"/>
    <x v="0"/>
    <x v="4"/>
    <x v="0"/>
    <x v="0"/>
    <x v="2"/>
    <x v="17"/>
    <x v="49"/>
    <x v="0"/>
    <x v="39"/>
    <x v="9"/>
  </r>
  <r>
    <x v="669"/>
    <x v="4"/>
    <x v="2"/>
    <x v="0"/>
    <x v="4"/>
    <x v="2"/>
    <x v="19"/>
    <x v="36"/>
    <x v="10"/>
    <x v="21"/>
    <x v="9"/>
  </r>
  <r>
    <x v="670"/>
    <x v="4"/>
    <x v="3"/>
    <x v="0"/>
    <x v="4"/>
    <x v="0"/>
    <x v="15"/>
    <x v="81"/>
    <x v="10"/>
    <x v="9"/>
    <x v="10"/>
  </r>
  <r>
    <x v="671"/>
    <x v="1"/>
    <x v="4"/>
    <x v="2"/>
    <x v="1"/>
    <x v="1"/>
    <x v="1"/>
    <x v="18"/>
    <x v="12"/>
    <x v="16"/>
    <x v="10"/>
  </r>
  <r>
    <x v="672"/>
    <x v="1"/>
    <x v="0"/>
    <x v="0"/>
    <x v="1"/>
    <x v="3"/>
    <x v="23"/>
    <x v="72"/>
    <x v="3"/>
    <x v="24"/>
    <x v="10"/>
  </r>
  <r>
    <x v="673"/>
    <x v="0"/>
    <x v="3"/>
    <x v="2"/>
    <x v="0"/>
    <x v="4"/>
    <x v="18"/>
    <x v="8"/>
    <x v="4"/>
    <x v="8"/>
    <x v="10"/>
  </r>
  <r>
    <x v="674"/>
    <x v="2"/>
    <x v="1"/>
    <x v="2"/>
    <x v="2"/>
    <x v="2"/>
    <x v="9"/>
    <x v="84"/>
    <x v="6"/>
    <x v="47"/>
    <x v="10"/>
  </r>
  <r>
    <x v="675"/>
    <x v="4"/>
    <x v="1"/>
    <x v="3"/>
    <x v="4"/>
    <x v="1"/>
    <x v="24"/>
    <x v="86"/>
    <x v="9"/>
    <x v="62"/>
    <x v="10"/>
  </r>
  <r>
    <x v="676"/>
    <x v="2"/>
    <x v="0"/>
    <x v="2"/>
    <x v="2"/>
    <x v="2"/>
    <x v="9"/>
    <x v="84"/>
    <x v="6"/>
    <x v="47"/>
    <x v="10"/>
  </r>
  <r>
    <x v="677"/>
    <x v="1"/>
    <x v="4"/>
    <x v="2"/>
    <x v="1"/>
    <x v="3"/>
    <x v="23"/>
    <x v="60"/>
    <x v="12"/>
    <x v="47"/>
    <x v="10"/>
  </r>
  <r>
    <x v="678"/>
    <x v="0"/>
    <x v="0"/>
    <x v="0"/>
    <x v="0"/>
    <x v="0"/>
    <x v="0"/>
    <x v="0"/>
    <x v="0"/>
    <x v="0"/>
    <x v="10"/>
  </r>
  <r>
    <x v="679"/>
    <x v="1"/>
    <x v="1"/>
    <x v="0"/>
    <x v="1"/>
    <x v="2"/>
    <x v="2"/>
    <x v="3"/>
    <x v="3"/>
    <x v="3"/>
    <x v="10"/>
  </r>
  <r>
    <x v="680"/>
    <x v="1"/>
    <x v="4"/>
    <x v="3"/>
    <x v="1"/>
    <x v="1"/>
    <x v="1"/>
    <x v="77"/>
    <x v="15"/>
    <x v="38"/>
    <x v="10"/>
  </r>
  <r>
    <x v="681"/>
    <x v="0"/>
    <x v="2"/>
    <x v="1"/>
    <x v="0"/>
    <x v="0"/>
    <x v="0"/>
    <x v="2"/>
    <x v="2"/>
    <x v="2"/>
    <x v="10"/>
  </r>
  <r>
    <x v="682"/>
    <x v="0"/>
    <x v="1"/>
    <x v="2"/>
    <x v="0"/>
    <x v="1"/>
    <x v="10"/>
    <x v="20"/>
    <x v="4"/>
    <x v="18"/>
    <x v="10"/>
  </r>
  <r>
    <x v="683"/>
    <x v="4"/>
    <x v="0"/>
    <x v="0"/>
    <x v="4"/>
    <x v="4"/>
    <x v="12"/>
    <x v="16"/>
    <x v="10"/>
    <x v="15"/>
    <x v="10"/>
  </r>
  <r>
    <x v="684"/>
    <x v="3"/>
    <x v="3"/>
    <x v="0"/>
    <x v="3"/>
    <x v="2"/>
    <x v="4"/>
    <x v="71"/>
    <x v="7"/>
    <x v="37"/>
    <x v="10"/>
  </r>
  <r>
    <x v="685"/>
    <x v="0"/>
    <x v="0"/>
    <x v="1"/>
    <x v="0"/>
    <x v="1"/>
    <x v="10"/>
    <x v="13"/>
    <x v="2"/>
    <x v="13"/>
    <x v="10"/>
  </r>
  <r>
    <x v="686"/>
    <x v="2"/>
    <x v="1"/>
    <x v="3"/>
    <x v="2"/>
    <x v="2"/>
    <x v="9"/>
    <x v="49"/>
    <x v="0"/>
    <x v="39"/>
    <x v="10"/>
  </r>
  <r>
    <x v="687"/>
    <x v="4"/>
    <x v="3"/>
    <x v="1"/>
    <x v="4"/>
    <x v="2"/>
    <x v="19"/>
    <x v="57"/>
    <x v="11"/>
    <x v="1"/>
    <x v="10"/>
  </r>
  <r>
    <x v="688"/>
    <x v="3"/>
    <x v="3"/>
    <x v="1"/>
    <x v="3"/>
    <x v="3"/>
    <x v="16"/>
    <x v="83"/>
    <x v="13"/>
    <x v="23"/>
    <x v="10"/>
  </r>
  <r>
    <x v="689"/>
    <x v="4"/>
    <x v="2"/>
    <x v="2"/>
    <x v="4"/>
    <x v="0"/>
    <x v="15"/>
    <x v="70"/>
    <x v="17"/>
    <x v="27"/>
    <x v="10"/>
  </r>
  <r>
    <x v="690"/>
    <x v="0"/>
    <x v="0"/>
    <x v="2"/>
    <x v="0"/>
    <x v="4"/>
    <x v="18"/>
    <x v="8"/>
    <x v="4"/>
    <x v="8"/>
    <x v="10"/>
  </r>
  <r>
    <x v="691"/>
    <x v="3"/>
    <x v="4"/>
    <x v="1"/>
    <x v="3"/>
    <x v="3"/>
    <x v="16"/>
    <x v="83"/>
    <x v="13"/>
    <x v="23"/>
    <x v="10"/>
  </r>
  <r>
    <x v="692"/>
    <x v="2"/>
    <x v="1"/>
    <x v="1"/>
    <x v="2"/>
    <x v="1"/>
    <x v="6"/>
    <x v="11"/>
    <x v="8"/>
    <x v="11"/>
    <x v="10"/>
  </r>
  <r>
    <x v="693"/>
    <x v="2"/>
    <x v="4"/>
    <x v="1"/>
    <x v="2"/>
    <x v="0"/>
    <x v="5"/>
    <x v="27"/>
    <x v="8"/>
    <x v="23"/>
    <x v="10"/>
  </r>
  <r>
    <x v="694"/>
    <x v="3"/>
    <x v="4"/>
    <x v="3"/>
    <x v="3"/>
    <x v="2"/>
    <x v="4"/>
    <x v="51"/>
    <x v="14"/>
    <x v="28"/>
    <x v="10"/>
  </r>
  <r>
    <x v="695"/>
    <x v="3"/>
    <x v="4"/>
    <x v="2"/>
    <x v="3"/>
    <x v="0"/>
    <x v="13"/>
    <x v="69"/>
    <x v="5"/>
    <x v="55"/>
    <x v="10"/>
  </r>
  <r>
    <x v="696"/>
    <x v="3"/>
    <x v="2"/>
    <x v="0"/>
    <x v="3"/>
    <x v="2"/>
    <x v="4"/>
    <x v="71"/>
    <x v="7"/>
    <x v="37"/>
    <x v="10"/>
  </r>
  <r>
    <x v="697"/>
    <x v="2"/>
    <x v="3"/>
    <x v="1"/>
    <x v="2"/>
    <x v="4"/>
    <x v="7"/>
    <x v="25"/>
    <x v="8"/>
    <x v="22"/>
    <x v="10"/>
  </r>
  <r>
    <x v="698"/>
    <x v="4"/>
    <x v="4"/>
    <x v="1"/>
    <x v="4"/>
    <x v="3"/>
    <x v="11"/>
    <x v="17"/>
    <x v="11"/>
    <x v="11"/>
    <x v="10"/>
  </r>
  <r>
    <x v="699"/>
    <x v="4"/>
    <x v="0"/>
    <x v="2"/>
    <x v="4"/>
    <x v="2"/>
    <x v="19"/>
    <x v="79"/>
    <x v="17"/>
    <x v="16"/>
    <x v="10"/>
  </r>
  <r>
    <x v="700"/>
    <x v="3"/>
    <x v="4"/>
    <x v="2"/>
    <x v="3"/>
    <x v="4"/>
    <x v="22"/>
    <x v="66"/>
    <x v="5"/>
    <x v="52"/>
    <x v="11"/>
  </r>
  <r>
    <x v="701"/>
    <x v="4"/>
    <x v="4"/>
    <x v="1"/>
    <x v="4"/>
    <x v="3"/>
    <x v="11"/>
    <x v="17"/>
    <x v="11"/>
    <x v="11"/>
    <x v="11"/>
  </r>
  <r>
    <x v="702"/>
    <x v="4"/>
    <x v="0"/>
    <x v="2"/>
    <x v="4"/>
    <x v="0"/>
    <x v="15"/>
    <x v="70"/>
    <x v="17"/>
    <x v="27"/>
    <x v="11"/>
  </r>
  <r>
    <x v="703"/>
    <x v="3"/>
    <x v="2"/>
    <x v="1"/>
    <x v="3"/>
    <x v="2"/>
    <x v="4"/>
    <x v="21"/>
    <x v="13"/>
    <x v="19"/>
    <x v="11"/>
  </r>
  <r>
    <x v="704"/>
    <x v="2"/>
    <x v="4"/>
    <x v="0"/>
    <x v="2"/>
    <x v="4"/>
    <x v="7"/>
    <x v="8"/>
    <x v="4"/>
    <x v="8"/>
    <x v="11"/>
  </r>
  <r>
    <x v="705"/>
    <x v="1"/>
    <x v="4"/>
    <x v="2"/>
    <x v="1"/>
    <x v="2"/>
    <x v="2"/>
    <x v="78"/>
    <x v="12"/>
    <x v="59"/>
    <x v="11"/>
  </r>
  <r>
    <x v="706"/>
    <x v="2"/>
    <x v="3"/>
    <x v="3"/>
    <x v="2"/>
    <x v="3"/>
    <x v="3"/>
    <x v="14"/>
    <x v="0"/>
    <x v="14"/>
    <x v="11"/>
  </r>
  <r>
    <x v="707"/>
    <x v="2"/>
    <x v="0"/>
    <x v="1"/>
    <x v="2"/>
    <x v="1"/>
    <x v="6"/>
    <x v="11"/>
    <x v="8"/>
    <x v="11"/>
    <x v="11"/>
  </r>
  <r>
    <x v="708"/>
    <x v="2"/>
    <x v="3"/>
    <x v="1"/>
    <x v="2"/>
    <x v="2"/>
    <x v="9"/>
    <x v="10"/>
    <x v="8"/>
    <x v="10"/>
    <x v="11"/>
  </r>
  <r>
    <x v="709"/>
    <x v="3"/>
    <x v="1"/>
    <x v="0"/>
    <x v="3"/>
    <x v="2"/>
    <x v="4"/>
    <x v="71"/>
    <x v="7"/>
    <x v="37"/>
    <x v="11"/>
  </r>
  <r>
    <x v="710"/>
    <x v="2"/>
    <x v="2"/>
    <x v="0"/>
    <x v="2"/>
    <x v="4"/>
    <x v="7"/>
    <x v="8"/>
    <x v="4"/>
    <x v="8"/>
    <x v="11"/>
  </r>
  <r>
    <x v="711"/>
    <x v="3"/>
    <x v="2"/>
    <x v="2"/>
    <x v="3"/>
    <x v="2"/>
    <x v="4"/>
    <x v="5"/>
    <x v="5"/>
    <x v="5"/>
    <x v="11"/>
  </r>
  <r>
    <x v="712"/>
    <x v="0"/>
    <x v="2"/>
    <x v="0"/>
    <x v="0"/>
    <x v="4"/>
    <x v="18"/>
    <x v="12"/>
    <x v="0"/>
    <x v="12"/>
    <x v="11"/>
  </r>
  <r>
    <x v="713"/>
    <x v="1"/>
    <x v="2"/>
    <x v="0"/>
    <x v="1"/>
    <x v="1"/>
    <x v="1"/>
    <x v="24"/>
    <x v="3"/>
    <x v="21"/>
    <x v="11"/>
  </r>
  <r>
    <x v="714"/>
    <x v="3"/>
    <x v="4"/>
    <x v="3"/>
    <x v="3"/>
    <x v="0"/>
    <x v="13"/>
    <x v="89"/>
    <x v="14"/>
    <x v="65"/>
    <x v="11"/>
  </r>
  <r>
    <x v="715"/>
    <x v="2"/>
    <x v="2"/>
    <x v="0"/>
    <x v="2"/>
    <x v="2"/>
    <x v="9"/>
    <x v="28"/>
    <x v="4"/>
    <x v="24"/>
    <x v="11"/>
  </r>
  <r>
    <x v="716"/>
    <x v="0"/>
    <x v="1"/>
    <x v="0"/>
    <x v="0"/>
    <x v="1"/>
    <x v="10"/>
    <x v="7"/>
    <x v="0"/>
    <x v="7"/>
    <x v="11"/>
  </r>
  <r>
    <x v="717"/>
    <x v="1"/>
    <x v="0"/>
    <x v="3"/>
    <x v="1"/>
    <x v="0"/>
    <x v="14"/>
    <x v="33"/>
    <x v="15"/>
    <x v="28"/>
    <x v="11"/>
  </r>
  <r>
    <x v="718"/>
    <x v="3"/>
    <x v="2"/>
    <x v="2"/>
    <x v="3"/>
    <x v="3"/>
    <x v="16"/>
    <x v="44"/>
    <x v="5"/>
    <x v="25"/>
    <x v="11"/>
  </r>
  <r>
    <x v="719"/>
    <x v="0"/>
    <x v="1"/>
    <x v="1"/>
    <x v="0"/>
    <x v="3"/>
    <x v="20"/>
    <x v="64"/>
    <x v="2"/>
    <x v="50"/>
    <x v="11"/>
  </r>
  <r>
    <x v="720"/>
    <x v="3"/>
    <x v="0"/>
    <x v="2"/>
    <x v="3"/>
    <x v="2"/>
    <x v="4"/>
    <x v="5"/>
    <x v="5"/>
    <x v="5"/>
    <x v="11"/>
  </r>
  <r>
    <x v="721"/>
    <x v="2"/>
    <x v="3"/>
    <x v="0"/>
    <x v="2"/>
    <x v="1"/>
    <x v="6"/>
    <x v="20"/>
    <x v="4"/>
    <x v="18"/>
    <x v="11"/>
  </r>
  <r>
    <x v="722"/>
    <x v="1"/>
    <x v="2"/>
    <x v="0"/>
    <x v="1"/>
    <x v="2"/>
    <x v="2"/>
    <x v="3"/>
    <x v="3"/>
    <x v="3"/>
    <x v="11"/>
  </r>
  <r>
    <x v="723"/>
    <x v="1"/>
    <x v="1"/>
    <x v="1"/>
    <x v="1"/>
    <x v="2"/>
    <x v="2"/>
    <x v="52"/>
    <x v="1"/>
    <x v="41"/>
    <x v="11"/>
  </r>
  <r>
    <x v="724"/>
    <x v="1"/>
    <x v="1"/>
    <x v="0"/>
    <x v="1"/>
    <x v="4"/>
    <x v="21"/>
    <x v="55"/>
    <x v="3"/>
    <x v="44"/>
    <x v="11"/>
  </r>
  <r>
    <x v="725"/>
    <x v="0"/>
    <x v="2"/>
    <x v="3"/>
    <x v="0"/>
    <x v="3"/>
    <x v="20"/>
    <x v="40"/>
    <x v="16"/>
    <x v="33"/>
    <x v="11"/>
  </r>
  <r>
    <x v="726"/>
    <x v="0"/>
    <x v="3"/>
    <x v="1"/>
    <x v="0"/>
    <x v="2"/>
    <x v="17"/>
    <x v="38"/>
    <x v="2"/>
    <x v="32"/>
    <x v="11"/>
  </r>
  <r>
    <x v="727"/>
    <x v="3"/>
    <x v="0"/>
    <x v="0"/>
    <x v="3"/>
    <x v="2"/>
    <x v="4"/>
    <x v="71"/>
    <x v="7"/>
    <x v="37"/>
    <x v="11"/>
  </r>
  <r>
    <x v="728"/>
    <x v="2"/>
    <x v="2"/>
    <x v="1"/>
    <x v="2"/>
    <x v="0"/>
    <x v="5"/>
    <x v="27"/>
    <x v="8"/>
    <x v="23"/>
    <x v="11"/>
  </r>
  <r>
    <x v="729"/>
    <x v="0"/>
    <x v="2"/>
    <x v="3"/>
    <x v="0"/>
    <x v="2"/>
    <x v="17"/>
    <x v="61"/>
    <x v="16"/>
    <x v="48"/>
    <x v="11"/>
  </r>
  <r>
    <x v="730"/>
    <x v="4"/>
    <x v="3"/>
    <x v="3"/>
    <x v="4"/>
    <x v="2"/>
    <x v="19"/>
    <x v="48"/>
    <x v="9"/>
    <x v="38"/>
    <x v="11"/>
  </r>
  <r>
    <x v="731"/>
    <x v="1"/>
    <x v="0"/>
    <x v="0"/>
    <x v="1"/>
    <x v="3"/>
    <x v="23"/>
    <x v="72"/>
    <x v="3"/>
    <x v="24"/>
    <x v="0"/>
  </r>
  <r>
    <x v="732"/>
    <x v="4"/>
    <x v="3"/>
    <x v="1"/>
    <x v="4"/>
    <x v="4"/>
    <x v="12"/>
    <x v="82"/>
    <x v="11"/>
    <x v="60"/>
    <x v="0"/>
  </r>
  <r>
    <x v="733"/>
    <x v="2"/>
    <x v="4"/>
    <x v="1"/>
    <x v="2"/>
    <x v="4"/>
    <x v="7"/>
    <x v="25"/>
    <x v="8"/>
    <x v="22"/>
    <x v="0"/>
  </r>
  <r>
    <x v="734"/>
    <x v="0"/>
    <x v="2"/>
    <x v="0"/>
    <x v="0"/>
    <x v="3"/>
    <x v="20"/>
    <x v="14"/>
    <x v="0"/>
    <x v="14"/>
    <x v="0"/>
  </r>
  <r>
    <x v="735"/>
    <x v="1"/>
    <x v="2"/>
    <x v="0"/>
    <x v="1"/>
    <x v="0"/>
    <x v="14"/>
    <x v="47"/>
    <x v="3"/>
    <x v="37"/>
    <x v="0"/>
  </r>
  <r>
    <x v="736"/>
    <x v="2"/>
    <x v="0"/>
    <x v="3"/>
    <x v="2"/>
    <x v="3"/>
    <x v="3"/>
    <x v="14"/>
    <x v="0"/>
    <x v="14"/>
    <x v="0"/>
  </r>
  <r>
    <x v="737"/>
    <x v="3"/>
    <x v="0"/>
    <x v="0"/>
    <x v="3"/>
    <x v="1"/>
    <x v="8"/>
    <x v="9"/>
    <x v="7"/>
    <x v="9"/>
    <x v="0"/>
  </r>
  <r>
    <x v="738"/>
    <x v="1"/>
    <x v="2"/>
    <x v="0"/>
    <x v="1"/>
    <x v="2"/>
    <x v="2"/>
    <x v="3"/>
    <x v="3"/>
    <x v="3"/>
    <x v="0"/>
  </r>
  <r>
    <x v="739"/>
    <x v="1"/>
    <x v="4"/>
    <x v="0"/>
    <x v="1"/>
    <x v="2"/>
    <x v="2"/>
    <x v="3"/>
    <x v="3"/>
    <x v="3"/>
    <x v="0"/>
  </r>
  <r>
    <x v="740"/>
    <x v="1"/>
    <x v="2"/>
    <x v="3"/>
    <x v="1"/>
    <x v="2"/>
    <x v="2"/>
    <x v="43"/>
    <x v="15"/>
    <x v="36"/>
    <x v="0"/>
  </r>
  <r>
    <x v="741"/>
    <x v="0"/>
    <x v="0"/>
    <x v="1"/>
    <x v="0"/>
    <x v="0"/>
    <x v="0"/>
    <x v="2"/>
    <x v="2"/>
    <x v="2"/>
    <x v="0"/>
  </r>
  <r>
    <x v="742"/>
    <x v="4"/>
    <x v="1"/>
    <x v="0"/>
    <x v="4"/>
    <x v="4"/>
    <x v="12"/>
    <x v="16"/>
    <x v="10"/>
    <x v="15"/>
    <x v="0"/>
  </r>
  <r>
    <x v="743"/>
    <x v="4"/>
    <x v="4"/>
    <x v="1"/>
    <x v="4"/>
    <x v="3"/>
    <x v="11"/>
    <x v="17"/>
    <x v="11"/>
    <x v="11"/>
    <x v="0"/>
  </r>
  <r>
    <x v="744"/>
    <x v="1"/>
    <x v="0"/>
    <x v="2"/>
    <x v="1"/>
    <x v="0"/>
    <x v="14"/>
    <x v="39"/>
    <x v="12"/>
    <x v="5"/>
    <x v="0"/>
  </r>
  <r>
    <x v="745"/>
    <x v="3"/>
    <x v="1"/>
    <x v="3"/>
    <x v="3"/>
    <x v="4"/>
    <x v="22"/>
    <x v="85"/>
    <x v="14"/>
    <x v="61"/>
    <x v="0"/>
  </r>
  <r>
    <x v="746"/>
    <x v="0"/>
    <x v="2"/>
    <x v="1"/>
    <x v="0"/>
    <x v="1"/>
    <x v="10"/>
    <x v="13"/>
    <x v="2"/>
    <x v="13"/>
    <x v="0"/>
  </r>
  <r>
    <x v="747"/>
    <x v="3"/>
    <x v="4"/>
    <x v="1"/>
    <x v="3"/>
    <x v="1"/>
    <x v="8"/>
    <x v="41"/>
    <x v="13"/>
    <x v="34"/>
    <x v="0"/>
  </r>
  <r>
    <x v="748"/>
    <x v="1"/>
    <x v="2"/>
    <x v="0"/>
    <x v="1"/>
    <x v="3"/>
    <x v="23"/>
    <x v="72"/>
    <x v="3"/>
    <x v="24"/>
    <x v="0"/>
  </r>
  <r>
    <x v="749"/>
    <x v="1"/>
    <x v="2"/>
    <x v="3"/>
    <x v="1"/>
    <x v="0"/>
    <x v="14"/>
    <x v="33"/>
    <x v="15"/>
    <x v="28"/>
    <x v="0"/>
  </r>
  <r>
    <x v="750"/>
    <x v="3"/>
    <x v="4"/>
    <x v="1"/>
    <x v="3"/>
    <x v="0"/>
    <x v="13"/>
    <x v="19"/>
    <x v="13"/>
    <x v="17"/>
    <x v="0"/>
  </r>
  <r>
    <x v="751"/>
    <x v="1"/>
    <x v="2"/>
    <x v="1"/>
    <x v="1"/>
    <x v="1"/>
    <x v="1"/>
    <x v="1"/>
    <x v="1"/>
    <x v="1"/>
    <x v="0"/>
  </r>
  <r>
    <x v="752"/>
    <x v="4"/>
    <x v="3"/>
    <x v="3"/>
    <x v="4"/>
    <x v="4"/>
    <x v="12"/>
    <x v="54"/>
    <x v="9"/>
    <x v="43"/>
    <x v="0"/>
  </r>
  <r>
    <x v="753"/>
    <x v="2"/>
    <x v="1"/>
    <x v="1"/>
    <x v="2"/>
    <x v="2"/>
    <x v="9"/>
    <x v="10"/>
    <x v="8"/>
    <x v="10"/>
    <x v="0"/>
  </r>
  <r>
    <x v="754"/>
    <x v="3"/>
    <x v="3"/>
    <x v="2"/>
    <x v="3"/>
    <x v="4"/>
    <x v="22"/>
    <x v="66"/>
    <x v="5"/>
    <x v="52"/>
    <x v="0"/>
  </r>
  <r>
    <x v="755"/>
    <x v="0"/>
    <x v="3"/>
    <x v="0"/>
    <x v="0"/>
    <x v="2"/>
    <x v="17"/>
    <x v="49"/>
    <x v="0"/>
    <x v="39"/>
    <x v="0"/>
  </r>
  <r>
    <x v="756"/>
    <x v="4"/>
    <x v="3"/>
    <x v="2"/>
    <x v="4"/>
    <x v="1"/>
    <x v="24"/>
    <x v="65"/>
    <x v="17"/>
    <x v="51"/>
    <x v="0"/>
  </r>
  <r>
    <x v="757"/>
    <x v="3"/>
    <x v="0"/>
    <x v="0"/>
    <x v="3"/>
    <x v="0"/>
    <x v="13"/>
    <x v="59"/>
    <x v="7"/>
    <x v="46"/>
    <x v="0"/>
  </r>
  <r>
    <x v="758"/>
    <x v="3"/>
    <x v="2"/>
    <x v="1"/>
    <x v="3"/>
    <x v="1"/>
    <x v="8"/>
    <x v="41"/>
    <x v="13"/>
    <x v="34"/>
    <x v="0"/>
  </r>
  <r>
    <x v="759"/>
    <x v="4"/>
    <x v="4"/>
    <x v="2"/>
    <x v="4"/>
    <x v="3"/>
    <x v="11"/>
    <x v="46"/>
    <x v="17"/>
    <x v="6"/>
    <x v="0"/>
  </r>
  <r>
    <x v="760"/>
    <x v="0"/>
    <x v="0"/>
    <x v="0"/>
    <x v="0"/>
    <x v="4"/>
    <x v="18"/>
    <x v="12"/>
    <x v="0"/>
    <x v="12"/>
    <x v="0"/>
  </r>
  <r>
    <x v="761"/>
    <x v="1"/>
    <x v="2"/>
    <x v="0"/>
    <x v="1"/>
    <x v="1"/>
    <x v="1"/>
    <x v="24"/>
    <x v="3"/>
    <x v="21"/>
    <x v="0"/>
  </r>
  <r>
    <x v="762"/>
    <x v="2"/>
    <x v="1"/>
    <x v="0"/>
    <x v="2"/>
    <x v="4"/>
    <x v="7"/>
    <x v="8"/>
    <x v="4"/>
    <x v="8"/>
    <x v="1"/>
  </r>
  <r>
    <x v="763"/>
    <x v="4"/>
    <x v="2"/>
    <x v="3"/>
    <x v="4"/>
    <x v="0"/>
    <x v="15"/>
    <x v="23"/>
    <x v="9"/>
    <x v="20"/>
    <x v="1"/>
  </r>
  <r>
    <x v="764"/>
    <x v="0"/>
    <x v="0"/>
    <x v="0"/>
    <x v="0"/>
    <x v="1"/>
    <x v="10"/>
    <x v="7"/>
    <x v="0"/>
    <x v="7"/>
    <x v="1"/>
  </r>
  <r>
    <x v="765"/>
    <x v="2"/>
    <x v="2"/>
    <x v="3"/>
    <x v="2"/>
    <x v="0"/>
    <x v="5"/>
    <x v="0"/>
    <x v="0"/>
    <x v="0"/>
    <x v="1"/>
  </r>
  <r>
    <x v="766"/>
    <x v="1"/>
    <x v="0"/>
    <x v="0"/>
    <x v="1"/>
    <x v="2"/>
    <x v="2"/>
    <x v="3"/>
    <x v="3"/>
    <x v="3"/>
    <x v="1"/>
  </r>
  <r>
    <x v="767"/>
    <x v="0"/>
    <x v="0"/>
    <x v="3"/>
    <x v="0"/>
    <x v="0"/>
    <x v="0"/>
    <x v="73"/>
    <x v="16"/>
    <x v="56"/>
    <x v="1"/>
  </r>
  <r>
    <x v="768"/>
    <x v="3"/>
    <x v="0"/>
    <x v="2"/>
    <x v="3"/>
    <x v="3"/>
    <x v="16"/>
    <x v="44"/>
    <x v="5"/>
    <x v="25"/>
    <x v="1"/>
  </r>
  <r>
    <x v="769"/>
    <x v="1"/>
    <x v="1"/>
    <x v="1"/>
    <x v="1"/>
    <x v="2"/>
    <x v="2"/>
    <x v="52"/>
    <x v="1"/>
    <x v="41"/>
    <x v="1"/>
  </r>
  <r>
    <x v="770"/>
    <x v="1"/>
    <x v="3"/>
    <x v="3"/>
    <x v="1"/>
    <x v="4"/>
    <x v="21"/>
    <x v="56"/>
    <x v="15"/>
    <x v="45"/>
    <x v="1"/>
  </r>
  <r>
    <x v="771"/>
    <x v="1"/>
    <x v="1"/>
    <x v="1"/>
    <x v="1"/>
    <x v="2"/>
    <x v="2"/>
    <x v="52"/>
    <x v="1"/>
    <x v="41"/>
    <x v="1"/>
  </r>
  <r>
    <x v="772"/>
    <x v="3"/>
    <x v="4"/>
    <x v="1"/>
    <x v="3"/>
    <x v="4"/>
    <x v="22"/>
    <x v="88"/>
    <x v="13"/>
    <x v="64"/>
    <x v="1"/>
  </r>
  <r>
    <x v="773"/>
    <x v="4"/>
    <x v="1"/>
    <x v="3"/>
    <x v="4"/>
    <x v="4"/>
    <x v="12"/>
    <x v="54"/>
    <x v="9"/>
    <x v="43"/>
    <x v="1"/>
  </r>
  <r>
    <x v="774"/>
    <x v="4"/>
    <x v="3"/>
    <x v="2"/>
    <x v="4"/>
    <x v="2"/>
    <x v="19"/>
    <x v="79"/>
    <x v="17"/>
    <x v="16"/>
    <x v="1"/>
  </r>
  <r>
    <x v="775"/>
    <x v="4"/>
    <x v="3"/>
    <x v="3"/>
    <x v="4"/>
    <x v="3"/>
    <x v="11"/>
    <x v="15"/>
    <x v="9"/>
    <x v="7"/>
    <x v="1"/>
  </r>
  <r>
    <x v="776"/>
    <x v="3"/>
    <x v="0"/>
    <x v="2"/>
    <x v="3"/>
    <x v="4"/>
    <x v="22"/>
    <x v="66"/>
    <x v="5"/>
    <x v="52"/>
    <x v="1"/>
  </r>
  <r>
    <x v="777"/>
    <x v="4"/>
    <x v="0"/>
    <x v="3"/>
    <x v="4"/>
    <x v="0"/>
    <x v="15"/>
    <x v="23"/>
    <x v="9"/>
    <x v="20"/>
    <x v="1"/>
  </r>
  <r>
    <x v="778"/>
    <x v="0"/>
    <x v="4"/>
    <x v="2"/>
    <x v="0"/>
    <x v="2"/>
    <x v="17"/>
    <x v="28"/>
    <x v="4"/>
    <x v="24"/>
    <x v="1"/>
  </r>
  <r>
    <x v="779"/>
    <x v="1"/>
    <x v="4"/>
    <x v="3"/>
    <x v="1"/>
    <x v="1"/>
    <x v="1"/>
    <x v="77"/>
    <x v="15"/>
    <x v="38"/>
    <x v="1"/>
  </r>
  <r>
    <x v="780"/>
    <x v="4"/>
    <x v="0"/>
    <x v="1"/>
    <x v="4"/>
    <x v="2"/>
    <x v="19"/>
    <x v="57"/>
    <x v="11"/>
    <x v="1"/>
    <x v="1"/>
  </r>
  <r>
    <x v="781"/>
    <x v="4"/>
    <x v="1"/>
    <x v="2"/>
    <x v="4"/>
    <x v="2"/>
    <x v="19"/>
    <x v="79"/>
    <x v="17"/>
    <x v="16"/>
    <x v="1"/>
  </r>
  <r>
    <x v="782"/>
    <x v="2"/>
    <x v="0"/>
    <x v="1"/>
    <x v="2"/>
    <x v="2"/>
    <x v="9"/>
    <x v="10"/>
    <x v="8"/>
    <x v="10"/>
    <x v="1"/>
  </r>
  <r>
    <x v="783"/>
    <x v="1"/>
    <x v="4"/>
    <x v="1"/>
    <x v="1"/>
    <x v="4"/>
    <x v="21"/>
    <x v="42"/>
    <x v="1"/>
    <x v="35"/>
    <x v="1"/>
  </r>
  <r>
    <x v="784"/>
    <x v="4"/>
    <x v="2"/>
    <x v="0"/>
    <x v="4"/>
    <x v="1"/>
    <x v="24"/>
    <x v="68"/>
    <x v="10"/>
    <x v="54"/>
    <x v="1"/>
  </r>
  <r>
    <x v="785"/>
    <x v="2"/>
    <x v="3"/>
    <x v="2"/>
    <x v="2"/>
    <x v="4"/>
    <x v="7"/>
    <x v="30"/>
    <x v="6"/>
    <x v="26"/>
    <x v="1"/>
  </r>
  <r>
    <x v="786"/>
    <x v="3"/>
    <x v="2"/>
    <x v="2"/>
    <x v="3"/>
    <x v="3"/>
    <x v="16"/>
    <x v="44"/>
    <x v="5"/>
    <x v="25"/>
    <x v="1"/>
  </r>
  <r>
    <x v="787"/>
    <x v="3"/>
    <x v="3"/>
    <x v="0"/>
    <x v="3"/>
    <x v="2"/>
    <x v="4"/>
    <x v="71"/>
    <x v="7"/>
    <x v="37"/>
    <x v="1"/>
  </r>
  <r>
    <x v="788"/>
    <x v="3"/>
    <x v="4"/>
    <x v="3"/>
    <x v="3"/>
    <x v="3"/>
    <x v="16"/>
    <x v="26"/>
    <x v="14"/>
    <x v="0"/>
    <x v="1"/>
  </r>
  <r>
    <x v="789"/>
    <x v="1"/>
    <x v="0"/>
    <x v="2"/>
    <x v="1"/>
    <x v="4"/>
    <x v="21"/>
    <x v="75"/>
    <x v="12"/>
    <x v="57"/>
    <x v="1"/>
  </r>
  <r>
    <x v="790"/>
    <x v="4"/>
    <x v="0"/>
    <x v="2"/>
    <x v="4"/>
    <x v="0"/>
    <x v="15"/>
    <x v="70"/>
    <x v="17"/>
    <x v="27"/>
    <x v="2"/>
  </r>
  <r>
    <x v="791"/>
    <x v="2"/>
    <x v="3"/>
    <x v="2"/>
    <x v="2"/>
    <x v="1"/>
    <x v="6"/>
    <x v="6"/>
    <x v="6"/>
    <x v="6"/>
    <x v="2"/>
  </r>
  <r>
    <x v="792"/>
    <x v="1"/>
    <x v="1"/>
    <x v="3"/>
    <x v="1"/>
    <x v="3"/>
    <x v="23"/>
    <x v="58"/>
    <x v="15"/>
    <x v="39"/>
    <x v="2"/>
  </r>
  <r>
    <x v="793"/>
    <x v="1"/>
    <x v="2"/>
    <x v="1"/>
    <x v="1"/>
    <x v="4"/>
    <x v="21"/>
    <x v="42"/>
    <x v="1"/>
    <x v="35"/>
    <x v="2"/>
  </r>
  <r>
    <x v="794"/>
    <x v="3"/>
    <x v="3"/>
    <x v="0"/>
    <x v="3"/>
    <x v="0"/>
    <x v="13"/>
    <x v="59"/>
    <x v="7"/>
    <x v="46"/>
    <x v="2"/>
  </r>
  <r>
    <x v="795"/>
    <x v="2"/>
    <x v="0"/>
    <x v="2"/>
    <x v="2"/>
    <x v="0"/>
    <x v="5"/>
    <x v="29"/>
    <x v="6"/>
    <x v="25"/>
    <x v="2"/>
  </r>
  <r>
    <x v="796"/>
    <x v="4"/>
    <x v="4"/>
    <x v="1"/>
    <x v="4"/>
    <x v="1"/>
    <x v="24"/>
    <x v="67"/>
    <x v="11"/>
    <x v="53"/>
    <x v="2"/>
  </r>
  <r>
    <x v="797"/>
    <x v="4"/>
    <x v="3"/>
    <x v="2"/>
    <x v="4"/>
    <x v="4"/>
    <x v="12"/>
    <x v="87"/>
    <x v="17"/>
    <x v="63"/>
    <x v="2"/>
  </r>
  <r>
    <x v="798"/>
    <x v="0"/>
    <x v="2"/>
    <x v="2"/>
    <x v="0"/>
    <x v="3"/>
    <x v="20"/>
    <x v="4"/>
    <x v="4"/>
    <x v="4"/>
    <x v="2"/>
  </r>
  <r>
    <x v="799"/>
    <x v="3"/>
    <x v="2"/>
    <x v="1"/>
    <x v="3"/>
    <x v="2"/>
    <x v="4"/>
    <x v="21"/>
    <x v="13"/>
    <x v="19"/>
    <x v="2"/>
  </r>
  <r>
    <x v="800"/>
    <x v="0"/>
    <x v="0"/>
    <x v="1"/>
    <x v="0"/>
    <x v="3"/>
    <x v="20"/>
    <x v="64"/>
    <x v="2"/>
    <x v="50"/>
    <x v="2"/>
  </r>
  <r>
    <x v="801"/>
    <x v="3"/>
    <x v="0"/>
    <x v="1"/>
    <x v="3"/>
    <x v="1"/>
    <x v="8"/>
    <x v="41"/>
    <x v="13"/>
    <x v="34"/>
    <x v="2"/>
  </r>
  <r>
    <x v="802"/>
    <x v="2"/>
    <x v="0"/>
    <x v="3"/>
    <x v="2"/>
    <x v="4"/>
    <x v="7"/>
    <x v="12"/>
    <x v="0"/>
    <x v="12"/>
    <x v="2"/>
  </r>
  <r>
    <x v="803"/>
    <x v="1"/>
    <x v="2"/>
    <x v="2"/>
    <x v="1"/>
    <x v="4"/>
    <x v="21"/>
    <x v="75"/>
    <x v="12"/>
    <x v="57"/>
    <x v="2"/>
  </r>
  <r>
    <x v="804"/>
    <x v="4"/>
    <x v="4"/>
    <x v="2"/>
    <x v="4"/>
    <x v="3"/>
    <x v="11"/>
    <x v="46"/>
    <x v="17"/>
    <x v="6"/>
    <x v="2"/>
  </r>
  <r>
    <x v="805"/>
    <x v="3"/>
    <x v="3"/>
    <x v="1"/>
    <x v="3"/>
    <x v="3"/>
    <x v="16"/>
    <x v="83"/>
    <x v="13"/>
    <x v="23"/>
    <x v="2"/>
  </r>
  <r>
    <x v="806"/>
    <x v="3"/>
    <x v="1"/>
    <x v="3"/>
    <x v="3"/>
    <x v="2"/>
    <x v="4"/>
    <x v="51"/>
    <x v="14"/>
    <x v="28"/>
    <x v="2"/>
  </r>
  <r>
    <x v="807"/>
    <x v="2"/>
    <x v="1"/>
    <x v="0"/>
    <x v="2"/>
    <x v="0"/>
    <x v="5"/>
    <x v="37"/>
    <x v="4"/>
    <x v="31"/>
    <x v="2"/>
  </r>
  <r>
    <x v="808"/>
    <x v="3"/>
    <x v="2"/>
    <x v="0"/>
    <x v="3"/>
    <x v="1"/>
    <x v="8"/>
    <x v="9"/>
    <x v="7"/>
    <x v="9"/>
    <x v="2"/>
  </r>
  <r>
    <x v="809"/>
    <x v="4"/>
    <x v="4"/>
    <x v="0"/>
    <x v="4"/>
    <x v="1"/>
    <x v="24"/>
    <x v="68"/>
    <x v="10"/>
    <x v="54"/>
    <x v="2"/>
  </r>
  <r>
    <x v="810"/>
    <x v="3"/>
    <x v="3"/>
    <x v="1"/>
    <x v="3"/>
    <x v="4"/>
    <x v="22"/>
    <x v="88"/>
    <x v="13"/>
    <x v="64"/>
    <x v="2"/>
  </r>
  <r>
    <x v="811"/>
    <x v="3"/>
    <x v="3"/>
    <x v="3"/>
    <x v="3"/>
    <x v="2"/>
    <x v="4"/>
    <x v="51"/>
    <x v="14"/>
    <x v="28"/>
    <x v="2"/>
  </r>
  <r>
    <x v="812"/>
    <x v="1"/>
    <x v="4"/>
    <x v="1"/>
    <x v="1"/>
    <x v="2"/>
    <x v="2"/>
    <x v="52"/>
    <x v="1"/>
    <x v="41"/>
    <x v="2"/>
  </r>
  <r>
    <x v="813"/>
    <x v="3"/>
    <x v="2"/>
    <x v="0"/>
    <x v="3"/>
    <x v="1"/>
    <x v="8"/>
    <x v="9"/>
    <x v="7"/>
    <x v="9"/>
    <x v="2"/>
  </r>
  <r>
    <x v="814"/>
    <x v="3"/>
    <x v="0"/>
    <x v="0"/>
    <x v="3"/>
    <x v="2"/>
    <x v="4"/>
    <x v="71"/>
    <x v="7"/>
    <x v="37"/>
    <x v="2"/>
  </r>
  <r>
    <x v="815"/>
    <x v="0"/>
    <x v="2"/>
    <x v="0"/>
    <x v="0"/>
    <x v="2"/>
    <x v="17"/>
    <x v="49"/>
    <x v="0"/>
    <x v="39"/>
    <x v="2"/>
  </r>
  <r>
    <x v="816"/>
    <x v="0"/>
    <x v="2"/>
    <x v="3"/>
    <x v="0"/>
    <x v="4"/>
    <x v="18"/>
    <x v="53"/>
    <x v="16"/>
    <x v="42"/>
    <x v="2"/>
  </r>
  <r>
    <x v="817"/>
    <x v="4"/>
    <x v="2"/>
    <x v="3"/>
    <x v="4"/>
    <x v="1"/>
    <x v="24"/>
    <x v="86"/>
    <x v="9"/>
    <x v="62"/>
    <x v="2"/>
  </r>
  <r>
    <x v="818"/>
    <x v="0"/>
    <x v="1"/>
    <x v="3"/>
    <x v="0"/>
    <x v="4"/>
    <x v="18"/>
    <x v="53"/>
    <x v="16"/>
    <x v="42"/>
    <x v="2"/>
  </r>
  <r>
    <x v="819"/>
    <x v="1"/>
    <x v="1"/>
    <x v="1"/>
    <x v="1"/>
    <x v="2"/>
    <x v="2"/>
    <x v="52"/>
    <x v="1"/>
    <x v="41"/>
    <x v="2"/>
  </r>
  <r>
    <x v="820"/>
    <x v="3"/>
    <x v="3"/>
    <x v="3"/>
    <x v="3"/>
    <x v="4"/>
    <x v="22"/>
    <x v="85"/>
    <x v="14"/>
    <x v="61"/>
    <x v="2"/>
  </r>
  <r>
    <x v="821"/>
    <x v="4"/>
    <x v="2"/>
    <x v="0"/>
    <x v="4"/>
    <x v="0"/>
    <x v="15"/>
    <x v="81"/>
    <x v="10"/>
    <x v="9"/>
    <x v="3"/>
  </r>
  <r>
    <x v="822"/>
    <x v="3"/>
    <x v="0"/>
    <x v="1"/>
    <x v="3"/>
    <x v="4"/>
    <x v="22"/>
    <x v="88"/>
    <x v="13"/>
    <x v="64"/>
    <x v="3"/>
  </r>
  <r>
    <x v="823"/>
    <x v="2"/>
    <x v="0"/>
    <x v="3"/>
    <x v="2"/>
    <x v="3"/>
    <x v="3"/>
    <x v="14"/>
    <x v="0"/>
    <x v="14"/>
    <x v="3"/>
  </r>
  <r>
    <x v="824"/>
    <x v="4"/>
    <x v="2"/>
    <x v="2"/>
    <x v="4"/>
    <x v="1"/>
    <x v="24"/>
    <x v="65"/>
    <x v="17"/>
    <x v="51"/>
    <x v="3"/>
  </r>
  <r>
    <x v="825"/>
    <x v="3"/>
    <x v="3"/>
    <x v="0"/>
    <x v="3"/>
    <x v="4"/>
    <x v="22"/>
    <x v="50"/>
    <x v="7"/>
    <x v="40"/>
    <x v="3"/>
  </r>
  <r>
    <x v="826"/>
    <x v="4"/>
    <x v="3"/>
    <x v="2"/>
    <x v="4"/>
    <x v="0"/>
    <x v="15"/>
    <x v="70"/>
    <x v="17"/>
    <x v="27"/>
    <x v="3"/>
  </r>
  <r>
    <x v="827"/>
    <x v="1"/>
    <x v="3"/>
    <x v="2"/>
    <x v="1"/>
    <x v="4"/>
    <x v="21"/>
    <x v="75"/>
    <x v="12"/>
    <x v="57"/>
    <x v="3"/>
  </r>
  <r>
    <x v="828"/>
    <x v="2"/>
    <x v="3"/>
    <x v="0"/>
    <x v="2"/>
    <x v="1"/>
    <x v="6"/>
    <x v="20"/>
    <x v="4"/>
    <x v="18"/>
    <x v="3"/>
  </r>
  <r>
    <x v="829"/>
    <x v="2"/>
    <x v="3"/>
    <x v="0"/>
    <x v="2"/>
    <x v="0"/>
    <x v="5"/>
    <x v="37"/>
    <x v="4"/>
    <x v="31"/>
    <x v="3"/>
  </r>
  <r>
    <x v="830"/>
    <x v="4"/>
    <x v="2"/>
    <x v="3"/>
    <x v="4"/>
    <x v="1"/>
    <x v="24"/>
    <x v="86"/>
    <x v="9"/>
    <x v="62"/>
    <x v="3"/>
  </r>
  <r>
    <x v="831"/>
    <x v="1"/>
    <x v="1"/>
    <x v="3"/>
    <x v="1"/>
    <x v="2"/>
    <x v="2"/>
    <x v="43"/>
    <x v="15"/>
    <x v="36"/>
    <x v="3"/>
  </r>
  <r>
    <x v="832"/>
    <x v="2"/>
    <x v="4"/>
    <x v="1"/>
    <x v="2"/>
    <x v="1"/>
    <x v="6"/>
    <x v="11"/>
    <x v="8"/>
    <x v="11"/>
    <x v="3"/>
  </r>
  <r>
    <x v="833"/>
    <x v="0"/>
    <x v="3"/>
    <x v="3"/>
    <x v="0"/>
    <x v="4"/>
    <x v="18"/>
    <x v="53"/>
    <x v="16"/>
    <x v="42"/>
    <x v="3"/>
  </r>
  <r>
    <x v="834"/>
    <x v="0"/>
    <x v="4"/>
    <x v="0"/>
    <x v="0"/>
    <x v="4"/>
    <x v="18"/>
    <x v="12"/>
    <x v="0"/>
    <x v="12"/>
    <x v="3"/>
  </r>
  <r>
    <x v="835"/>
    <x v="0"/>
    <x v="2"/>
    <x v="2"/>
    <x v="0"/>
    <x v="2"/>
    <x v="17"/>
    <x v="28"/>
    <x v="4"/>
    <x v="24"/>
    <x v="3"/>
  </r>
  <r>
    <x v="836"/>
    <x v="0"/>
    <x v="2"/>
    <x v="2"/>
    <x v="0"/>
    <x v="2"/>
    <x v="17"/>
    <x v="28"/>
    <x v="4"/>
    <x v="24"/>
    <x v="3"/>
  </r>
  <r>
    <x v="837"/>
    <x v="2"/>
    <x v="1"/>
    <x v="2"/>
    <x v="2"/>
    <x v="1"/>
    <x v="6"/>
    <x v="6"/>
    <x v="6"/>
    <x v="6"/>
    <x v="3"/>
  </r>
  <r>
    <x v="838"/>
    <x v="2"/>
    <x v="3"/>
    <x v="2"/>
    <x v="2"/>
    <x v="3"/>
    <x v="3"/>
    <x v="35"/>
    <x v="6"/>
    <x v="30"/>
    <x v="3"/>
  </r>
  <r>
    <x v="839"/>
    <x v="2"/>
    <x v="4"/>
    <x v="1"/>
    <x v="2"/>
    <x v="1"/>
    <x v="6"/>
    <x v="11"/>
    <x v="8"/>
    <x v="11"/>
    <x v="3"/>
  </r>
  <r>
    <x v="840"/>
    <x v="4"/>
    <x v="2"/>
    <x v="2"/>
    <x v="4"/>
    <x v="4"/>
    <x v="12"/>
    <x v="87"/>
    <x v="17"/>
    <x v="63"/>
    <x v="3"/>
  </r>
  <r>
    <x v="841"/>
    <x v="4"/>
    <x v="3"/>
    <x v="2"/>
    <x v="4"/>
    <x v="0"/>
    <x v="15"/>
    <x v="70"/>
    <x v="17"/>
    <x v="27"/>
    <x v="3"/>
  </r>
  <r>
    <x v="842"/>
    <x v="1"/>
    <x v="2"/>
    <x v="3"/>
    <x v="1"/>
    <x v="2"/>
    <x v="2"/>
    <x v="43"/>
    <x v="15"/>
    <x v="36"/>
    <x v="3"/>
  </r>
  <r>
    <x v="843"/>
    <x v="1"/>
    <x v="2"/>
    <x v="1"/>
    <x v="1"/>
    <x v="3"/>
    <x v="23"/>
    <x v="74"/>
    <x v="1"/>
    <x v="10"/>
    <x v="3"/>
  </r>
  <r>
    <x v="844"/>
    <x v="0"/>
    <x v="1"/>
    <x v="3"/>
    <x v="0"/>
    <x v="3"/>
    <x v="20"/>
    <x v="40"/>
    <x v="16"/>
    <x v="33"/>
    <x v="3"/>
  </r>
  <r>
    <x v="845"/>
    <x v="3"/>
    <x v="3"/>
    <x v="3"/>
    <x v="3"/>
    <x v="3"/>
    <x v="16"/>
    <x v="26"/>
    <x v="14"/>
    <x v="0"/>
    <x v="3"/>
  </r>
  <r>
    <x v="846"/>
    <x v="0"/>
    <x v="0"/>
    <x v="0"/>
    <x v="0"/>
    <x v="0"/>
    <x v="0"/>
    <x v="0"/>
    <x v="0"/>
    <x v="0"/>
    <x v="3"/>
  </r>
  <r>
    <x v="847"/>
    <x v="3"/>
    <x v="4"/>
    <x v="1"/>
    <x v="3"/>
    <x v="4"/>
    <x v="22"/>
    <x v="88"/>
    <x v="13"/>
    <x v="64"/>
    <x v="3"/>
  </r>
  <r>
    <x v="848"/>
    <x v="1"/>
    <x v="1"/>
    <x v="3"/>
    <x v="1"/>
    <x v="4"/>
    <x v="21"/>
    <x v="56"/>
    <x v="15"/>
    <x v="45"/>
    <x v="3"/>
  </r>
  <r>
    <x v="849"/>
    <x v="2"/>
    <x v="3"/>
    <x v="0"/>
    <x v="2"/>
    <x v="2"/>
    <x v="9"/>
    <x v="28"/>
    <x v="4"/>
    <x v="24"/>
    <x v="3"/>
  </r>
  <r>
    <x v="850"/>
    <x v="1"/>
    <x v="2"/>
    <x v="3"/>
    <x v="1"/>
    <x v="2"/>
    <x v="2"/>
    <x v="43"/>
    <x v="15"/>
    <x v="36"/>
    <x v="3"/>
  </r>
  <r>
    <x v="851"/>
    <x v="0"/>
    <x v="0"/>
    <x v="0"/>
    <x v="0"/>
    <x v="4"/>
    <x v="18"/>
    <x v="12"/>
    <x v="0"/>
    <x v="12"/>
    <x v="4"/>
  </r>
  <r>
    <x v="852"/>
    <x v="2"/>
    <x v="1"/>
    <x v="0"/>
    <x v="2"/>
    <x v="4"/>
    <x v="7"/>
    <x v="8"/>
    <x v="4"/>
    <x v="8"/>
    <x v="4"/>
  </r>
  <r>
    <x v="853"/>
    <x v="4"/>
    <x v="0"/>
    <x v="2"/>
    <x v="4"/>
    <x v="1"/>
    <x v="24"/>
    <x v="65"/>
    <x v="17"/>
    <x v="51"/>
    <x v="4"/>
  </r>
  <r>
    <x v="854"/>
    <x v="4"/>
    <x v="1"/>
    <x v="2"/>
    <x v="4"/>
    <x v="4"/>
    <x v="12"/>
    <x v="87"/>
    <x v="17"/>
    <x v="63"/>
    <x v="4"/>
  </r>
  <r>
    <x v="855"/>
    <x v="1"/>
    <x v="2"/>
    <x v="3"/>
    <x v="1"/>
    <x v="4"/>
    <x v="21"/>
    <x v="56"/>
    <x v="15"/>
    <x v="45"/>
    <x v="4"/>
  </r>
  <r>
    <x v="856"/>
    <x v="0"/>
    <x v="2"/>
    <x v="2"/>
    <x v="0"/>
    <x v="0"/>
    <x v="0"/>
    <x v="37"/>
    <x v="4"/>
    <x v="31"/>
    <x v="4"/>
  </r>
  <r>
    <x v="857"/>
    <x v="0"/>
    <x v="3"/>
    <x v="1"/>
    <x v="0"/>
    <x v="0"/>
    <x v="0"/>
    <x v="2"/>
    <x v="2"/>
    <x v="2"/>
    <x v="4"/>
  </r>
  <r>
    <x v="858"/>
    <x v="1"/>
    <x v="1"/>
    <x v="1"/>
    <x v="1"/>
    <x v="0"/>
    <x v="14"/>
    <x v="22"/>
    <x v="1"/>
    <x v="19"/>
    <x v="4"/>
  </r>
  <r>
    <x v="859"/>
    <x v="0"/>
    <x v="1"/>
    <x v="0"/>
    <x v="0"/>
    <x v="4"/>
    <x v="18"/>
    <x v="12"/>
    <x v="0"/>
    <x v="12"/>
    <x v="4"/>
  </r>
  <r>
    <x v="860"/>
    <x v="1"/>
    <x v="1"/>
    <x v="3"/>
    <x v="1"/>
    <x v="3"/>
    <x v="23"/>
    <x v="58"/>
    <x v="15"/>
    <x v="39"/>
    <x v="4"/>
  </r>
  <r>
    <x v="861"/>
    <x v="1"/>
    <x v="1"/>
    <x v="2"/>
    <x v="1"/>
    <x v="4"/>
    <x v="21"/>
    <x v="75"/>
    <x v="12"/>
    <x v="57"/>
    <x v="4"/>
  </r>
  <r>
    <x v="862"/>
    <x v="2"/>
    <x v="2"/>
    <x v="0"/>
    <x v="2"/>
    <x v="4"/>
    <x v="7"/>
    <x v="8"/>
    <x v="4"/>
    <x v="8"/>
    <x v="4"/>
  </r>
  <r>
    <x v="863"/>
    <x v="2"/>
    <x v="3"/>
    <x v="1"/>
    <x v="2"/>
    <x v="1"/>
    <x v="6"/>
    <x v="11"/>
    <x v="8"/>
    <x v="11"/>
    <x v="4"/>
  </r>
  <r>
    <x v="864"/>
    <x v="3"/>
    <x v="2"/>
    <x v="3"/>
    <x v="3"/>
    <x v="3"/>
    <x v="16"/>
    <x v="26"/>
    <x v="14"/>
    <x v="0"/>
    <x v="4"/>
  </r>
  <r>
    <x v="865"/>
    <x v="4"/>
    <x v="0"/>
    <x v="1"/>
    <x v="4"/>
    <x v="2"/>
    <x v="19"/>
    <x v="57"/>
    <x v="11"/>
    <x v="1"/>
    <x v="4"/>
  </r>
  <r>
    <x v="866"/>
    <x v="4"/>
    <x v="0"/>
    <x v="2"/>
    <x v="4"/>
    <x v="0"/>
    <x v="15"/>
    <x v="70"/>
    <x v="17"/>
    <x v="27"/>
    <x v="4"/>
  </r>
  <r>
    <x v="867"/>
    <x v="2"/>
    <x v="1"/>
    <x v="1"/>
    <x v="2"/>
    <x v="4"/>
    <x v="7"/>
    <x v="25"/>
    <x v="8"/>
    <x v="22"/>
    <x v="4"/>
  </r>
  <r>
    <x v="868"/>
    <x v="4"/>
    <x v="1"/>
    <x v="1"/>
    <x v="4"/>
    <x v="3"/>
    <x v="11"/>
    <x v="17"/>
    <x v="11"/>
    <x v="11"/>
    <x v="4"/>
  </r>
  <r>
    <x v="869"/>
    <x v="1"/>
    <x v="3"/>
    <x v="1"/>
    <x v="1"/>
    <x v="4"/>
    <x v="21"/>
    <x v="42"/>
    <x v="1"/>
    <x v="35"/>
    <x v="4"/>
  </r>
  <r>
    <x v="870"/>
    <x v="4"/>
    <x v="3"/>
    <x v="3"/>
    <x v="4"/>
    <x v="2"/>
    <x v="19"/>
    <x v="48"/>
    <x v="9"/>
    <x v="38"/>
    <x v="4"/>
  </r>
  <r>
    <x v="871"/>
    <x v="3"/>
    <x v="2"/>
    <x v="3"/>
    <x v="3"/>
    <x v="3"/>
    <x v="16"/>
    <x v="26"/>
    <x v="14"/>
    <x v="0"/>
    <x v="4"/>
  </r>
  <r>
    <x v="872"/>
    <x v="3"/>
    <x v="1"/>
    <x v="3"/>
    <x v="3"/>
    <x v="1"/>
    <x v="8"/>
    <x v="45"/>
    <x v="14"/>
    <x v="20"/>
    <x v="4"/>
  </r>
  <r>
    <x v="873"/>
    <x v="2"/>
    <x v="1"/>
    <x v="1"/>
    <x v="2"/>
    <x v="1"/>
    <x v="6"/>
    <x v="11"/>
    <x v="8"/>
    <x v="11"/>
    <x v="4"/>
  </r>
  <r>
    <x v="874"/>
    <x v="2"/>
    <x v="2"/>
    <x v="0"/>
    <x v="2"/>
    <x v="0"/>
    <x v="5"/>
    <x v="37"/>
    <x v="4"/>
    <x v="31"/>
    <x v="4"/>
  </r>
  <r>
    <x v="875"/>
    <x v="1"/>
    <x v="4"/>
    <x v="3"/>
    <x v="1"/>
    <x v="3"/>
    <x v="23"/>
    <x v="58"/>
    <x v="15"/>
    <x v="39"/>
    <x v="4"/>
  </r>
  <r>
    <x v="876"/>
    <x v="3"/>
    <x v="2"/>
    <x v="1"/>
    <x v="3"/>
    <x v="3"/>
    <x v="16"/>
    <x v="83"/>
    <x v="13"/>
    <x v="23"/>
    <x v="4"/>
  </r>
  <r>
    <x v="877"/>
    <x v="4"/>
    <x v="1"/>
    <x v="2"/>
    <x v="4"/>
    <x v="3"/>
    <x v="11"/>
    <x v="46"/>
    <x v="17"/>
    <x v="6"/>
    <x v="4"/>
  </r>
  <r>
    <x v="878"/>
    <x v="4"/>
    <x v="2"/>
    <x v="1"/>
    <x v="4"/>
    <x v="0"/>
    <x v="15"/>
    <x v="63"/>
    <x v="11"/>
    <x v="34"/>
    <x v="4"/>
  </r>
  <r>
    <x v="879"/>
    <x v="4"/>
    <x v="0"/>
    <x v="2"/>
    <x v="4"/>
    <x v="0"/>
    <x v="15"/>
    <x v="70"/>
    <x v="17"/>
    <x v="27"/>
    <x v="4"/>
  </r>
  <r>
    <x v="880"/>
    <x v="4"/>
    <x v="2"/>
    <x v="2"/>
    <x v="4"/>
    <x v="2"/>
    <x v="19"/>
    <x v="79"/>
    <x v="17"/>
    <x v="16"/>
    <x v="4"/>
  </r>
  <r>
    <x v="881"/>
    <x v="1"/>
    <x v="2"/>
    <x v="0"/>
    <x v="1"/>
    <x v="1"/>
    <x v="1"/>
    <x v="24"/>
    <x v="3"/>
    <x v="21"/>
    <x v="4"/>
  </r>
  <r>
    <x v="882"/>
    <x v="0"/>
    <x v="2"/>
    <x v="2"/>
    <x v="0"/>
    <x v="4"/>
    <x v="18"/>
    <x v="8"/>
    <x v="4"/>
    <x v="8"/>
    <x v="5"/>
  </r>
  <r>
    <x v="883"/>
    <x v="4"/>
    <x v="3"/>
    <x v="2"/>
    <x v="4"/>
    <x v="4"/>
    <x v="12"/>
    <x v="87"/>
    <x v="17"/>
    <x v="63"/>
    <x v="5"/>
  </r>
  <r>
    <x v="884"/>
    <x v="1"/>
    <x v="0"/>
    <x v="2"/>
    <x v="1"/>
    <x v="1"/>
    <x v="1"/>
    <x v="18"/>
    <x v="12"/>
    <x v="16"/>
    <x v="5"/>
  </r>
  <r>
    <x v="885"/>
    <x v="1"/>
    <x v="1"/>
    <x v="2"/>
    <x v="1"/>
    <x v="0"/>
    <x v="14"/>
    <x v="39"/>
    <x v="12"/>
    <x v="5"/>
    <x v="5"/>
  </r>
  <r>
    <x v="886"/>
    <x v="1"/>
    <x v="1"/>
    <x v="2"/>
    <x v="1"/>
    <x v="1"/>
    <x v="1"/>
    <x v="18"/>
    <x v="12"/>
    <x v="16"/>
    <x v="5"/>
  </r>
  <r>
    <x v="887"/>
    <x v="0"/>
    <x v="2"/>
    <x v="2"/>
    <x v="0"/>
    <x v="1"/>
    <x v="10"/>
    <x v="20"/>
    <x v="4"/>
    <x v="18"/>
    <x v="5"/>
  </r>
  <r>
    <x v="888"/>
    <x v="0"/>
    <x v="1"/>
    <x v="0"/>
    <x v="0"/>
    <x v="1"/>
    <x v="10"/>
    <x v="7"/>
    <x v="0"/>
    <x v="7"/>
    <x v="5"/>
  </r>
  <r>
    <x v="889"/>
    <x v="4"/>
    <x v="2"/>
    <x v="1"/>
    <x v="4"/>
    <x v="1"/>
    <x v="24"/>
    <x v="67"/>
    <x v="11"/>
    <x v="53"/>
    <x v="5"/>
  </r>
  <r>
    <x v="890"/>
    <x v="1"/>
    <x v="3"/>
    <x v="3"/>
    <x v="1"/>
    <x v="0"/>
    <x v="14"/>
    <x v="33"/>
    <x v="15"/>
    <x v="28"/>
    <x v="5"/>
  </r>
  <r>
    <x v="891"/>
    <x v="2"/>
    <x v="4"/>
    <x v="0"/>
    <x v="2"/>
    <x v="1"/>
    <x v="6"/>
    <x v="20"/>
    <x v="4"/>
    <x v="18"/>
    <x v="5"/>
  </r>
  <r>
    <x v="892"/>
    <x v="0"/>
    <x v="4"/>
    <x v="2"/>
    <x v="0"/>
    <x v="4"/>
    <x v="18"/>
    <x v="8"/>
    <x v="4"/>
    <x v="8"/>
    <x v="5"/>
  </r>
  <r>
    <x v="893"/>
    <x v="4"/>
    <x v="2"/>
    <x v="3"/>
    <x v="4"/>
    <x v="0"/>
    <x v="15"/>
    <x v="23"/>
    <x v="9"/>
    <x v="20"/>
    <x v="5"/>
  </r>
  <r>
    <x v="894"/>
    <x v="1"/>
    <x v="1"/>
    <x v="1"/>
    <x v="1"/>
    <x v="1"/>
    <x v="1"/>
    <x v="1"/>
    <x v="1"/>
    <x v="1"/>
    <x v="5"/>
  </r>
  <r>
    <x v="895"/>
    <x v="1"/>
    <x v="1"/>
    <x v="0"/>
    <x v="1"/>
    <x v="4"/>
    <x v="21"/>
    <x v="55"/>
    <x v="3"/>
    <x v="44"/>
    <x v="5"/>
  </r>
  <r>
    <x v="896"/>
    <x v="3"/>
    <x v="1"/>
    <x v="1"/>
    <x v="3"/>
    <x v="3"/>
    <x v="16"/>
    <x v="83"/>
    <x v="13"/>
    <x v="23"/>
    <x v="5"/>
  </r>
  <r>
    <x v="897"/>
    <x v="1"/>
    <x v="2"/>
    <x v="0"/>
    <x v="1"/>
    <x v="0"/>
    <x v="14"/>
    <x v="47"/>
    <x v="3"/>
    <x v="37"/>
    <x v="5"/>
  </r>
  <r>
    <x v="898"/>
    <x v="1"/>
    <x v="4"/>
    <x v="0"/>
    <x v="1"/>
    <x v="1"/>
    <x v="1"/>
    <x v="24"/>
    <x v="3"/>
    <x v="21"/>
    <x v="5"/>
  </r>
  <r>
    <x v="899"/>
    <x v="1"/>
    <x v="0"/>
    <x v="0"/>
    <x v="1"/>
    <x v="1"/>
    <x v="1"/>
    <x v="24"/>
    <x v="3"/>
    <x v="21"/>
    <x v="5"/>
  </r>
  <r>
    <x v="900"/>
    <x v="4"/>
    <x v="4"/>
    <x v="3"/>
    <x v="4"/>
    <x v="2"/>
    <x v="19"/>
    <x v="48"/>
    <x v="9"/>
    <x v="38"/>
    <x v="5"/>
  </r>
  <r>
    <x v="901"/>
    <x v="3"/>
    <x v="3"/>
    <x v="2"/>
    <x v="3"/>
    <x v="2"/>
    <x v="4"/>
    <x v="5"/>
    <x v="5"/>
    <x v="5"/>
    <x v="5"/>
  </r>
  <r>
    <x v="902"/>
    <x v="0"/>
    <x v="0"/>
    <x v="2"/>
    <x v="0"/>
    <x v="3"/>
    <x v="20"/>
    <x v="4"/>
    <x v="4"/>
    <x v="4"/>
    <x v="5"/>
  </r>
  <r>
    <x v="903"/>
    <x v="4"/>
    <x v="1"/>
    <x v="2"/>
    <x v="4"/>
    <x v="0"/>
    <x v="15"/>
    <x v="70"/>
    <x v="17"/>
    <x v="27"/>
    <x v="5"/>
  </r>
  <r>
    <x v="904"/>
    <x v="2"/>
    <x v="1"/>
    <x v="0"/>
    <x v="2"/>
    <x v="4"/>
    <x v="7"/>
    <x v="8"/>
    <x v="4"/>
    <x v="8"/>
    <x v="5"/>
  </r>
  <r>
    <x v="905"/>
    <x v="3"/>
    <x v="1"/>
    <x v="1"/>
    <x v="3"/>
    <x v="2"/>
    <x v="4"/>
    <x v="21"/>
    <x v="13"/>
    <x v="19"/>
    <x v="5"/>
  </r>
  <r>
    <x v="906"/>
    <x v="1"/>
    <x v="1"/>
    <x v="2"/>
    <x v="1"/>
    <x v="0"/>
    <x v="14"/>
    <x v="39"/>
    <x v="12"/>
    <x v="5"/>
    <x v="5"/>
  </r>
  <r>
    <x v="907"/>
    <x v="4"/>
    <x v="0"/>
    <x v="2"/>
    <x v="4"/>
    <x v="2"/>
    <x v="19"/>
    <x v="79"/>
    <x v="17"/>
    <x v="16"/>
    <x v="5"/>
  </r>
  <r>
    <x v="908"/>
    <x v="4"/>
    <x v="0"/>
    <x v="1"/>
    <x v="4"/>
    <x v="3"/>
    <x v="11"/>
    <x v="17"/>
    <x v="11"/>
    <x v="11"/>
    <x v="5"/>
  </r>
  <r>
    <x v="909"/>
    <x v="4"/>
    <x v="1"/>
    <x v="2"/>
    <x v="4"/>
    <x v="4"/>
    <x v="12"/>
    <x v="87"/>
    <x v="17"/>
    <x v="63"/>
    <x v="5"/>
  </r>
  <r>
    <x v="910"/>
    <x v="3"/>
    <x v="1"/>
    <x v="0"/>
    <x v="3"/>
    <x v="1"/>
    <x v="8"/>
    <x v="9"/>
    <x v="7"/>
    <x v="9"/>
    <x v="5"/>
  </r>
  <r>
    <x v="911"/>
    <x v="4"/>
    <x v="0"/>
    <x v="1"/>
    <x v="4"/>
    <x v="1"/>
    <x v="24"/>
    <x v="67"/>
    <x v="11"/>
    <x v="53"/>
    <x v="5"/>
  </r>
  <r>
    <x v="912"/>
    <x v="3"/>
    <x v="4"/>
    <x v="2"/>
    <x v="3"/>
    <x v="2"/>
    <x v="4"/>
    <x v="5"/>
    <x v="5"/>
    <x v="5"/>
    <x v="6"/>
  </r>
  <r>
    <x v="913"/>
    <x v="4"/>
    <x v="2"/>
    <x v="1"/>
    <x v="4"/>
    <x v="3"/>
    <x v="11"/>
    <x v="17"/>
    <x v="11"/>
    <x v="11"/>
    <x v="6"/>
  </r>
  <r>
    <x v="914"/>
    <x v="4"/>
    <x v="1"/>
    <x v="1"/>
    <x v="4"/>
    <x v="4"/>
    <x v="12"/>
    <x v="82"/>
    <x v="11"/>
    <x v="60"/>
    <x v="6"/>
  </r>
  <r>
    <x v="915"/>
    <x v="4"/>
    <x v="4"/>
    <x v="1"/>
    <x v="4"/>
    <x v="1"/>
    <x v="24"/>
    <x v="67"/>
    <x v="11"/>
    <x v="53"/>
    <x v="6"/>
  </r>
  <r>
    <x v="916"/>
    <x v="1"/>
    <x v="4"/>
    <x v="0"/>
    <x v="1"/>
    <x v="1"/>
    <x v="1"/>
    <x v="24"/>
    <x v="3"/>
    <x v="21"/>
    <x v="6"/>
  </r>
  <r>
    <x v="917"/>
    <x v="4"/>
    <x v="2"/>
    <x v="1"/>
    <x v="4"/>
    <x v="1"/>
    <x v="24"/>
    <x v="67"/>
    <x v="11"/>
    <x v="53"/>
    <x v="6"/>
  </r>
  <r>
    <x v="918"/>
    <x v="0"/>
    <x v="1"/>
    <x v="3"/>
    <x v="0"/>
    <x v="4"/>
    <x v="18"/>
    <x v="53"/>
    <x v="16"/>
    <x v="42"/>
    <x v="6"/>
  </r>
  <r>
    <x v="919"/>
    <x v="2"/>
    <x v="1"/>
    <x v="1"/>
    <x v="2"/>
    <x v="0"/>
    <x v="5"/>
    <x v="27"/>
    <x v="8"/>
    <x v="23"/>
    <x v="6"/>
  </r>
  <r>
    <x v="920"/>
    <x v="2"/>
    <x v="0"/>
    <x v="3"/>
    <x v="2"/>
    <x v="4"/>
    <x v="7"/>
    <x v="12"/>
    <x v="0"/>
    <x v="12"/>
    <x v="6"/>
  </r>
  <r>
    <x v="921"/>
    <x v="3"/>
    <x v="2"/>
    <x v="2"/>
    <x v="3"/>
    <x v="2"/>
    <x v="4"/>
    <x v="5"/>
    <x v="5"/>
    <x v="5"/>
    <x v="6"/>
  </r>
  <r>
    <x v="922"/>
    <x v="2"/>
    <x v="2"/>
    <x v="1"/>
    <x v="2"/>
    <x v="4"/>
    <x v="7"/>
    <x v="25"/>
    <x v="8"/>
    <x v="22"/>
    <x v="6"/>
  </r>
  <r>
    <x v="923"/>
    <x v="2"/>
    <x v="3"/>
    <x v="2"/>
    <x v="2"/>
    <x v="0"/>
    <x v="5"/>
    <x v="29"/>
    <x v="6"/>
    <x v="25"/>
    <x v="6"/>
  </r>
  <r>
    <x v="924"/>
    <x v="2"/>
    <x v="3"/>
    <x v="3"/>
    <x v="2"/>
    <x v="2"/>
    <x v="9"/>
    <x v="49"/>
    <x v="0"/>
    <x v="39"/>
    <x v="6"/>
  </r>
  <r>
    <x v="925"/>
    <x v="0"/>
    <x v="0"/>
    <x v="3"/>
    <x v="0"/>
    <x v="0"/>
    <x v="0"/>
    <x v="73"/>
    <x v="16"/>
    <x v="56"/>
    <x v="6"/>
  </r>
  <r>
    <x v="926"/>
    <x v="1"/>
    <x v="1"/>
    <x v="3"/>
    <x v="1"/>
    <x v="3"/>
    <x v="23"/>
    <x v="58"/>
    <x v="15"/>
    <x v="39"/>
    <x v="6"/>
  </r>
  <r>
    <x v="927"/>
    <x v="4"/>
    <x v="2"/>
    <x v="3"/>
    <x v="4"/>
    <x v="1"/>
    <x v="24"/>
    <x v="86"/>
    <x v="9"/>
    <x v="62"/>
    <x v="6"/>
  </r>
  <r>
    <x v="928"/>
    <x v="4"/>
    <x v="0"/>
    <x v="1"/>
    <x v="4"/>
    <x v="0"/>
    <x v="15"/>
    <x v="63"/>
    <x v="11"/>
    <x v="34"/>
    <x v="6"/>
  </r>
  <r>
    <x v="929"/>
    <x v="1"/>
    <x v="4"/>
    <x v="1"/>
    <x v="1"/>
    <x v="4"/>
    <x v="21"/>
    <x v="42"/>
    <x v="1"/>
    <x v="35"/>
    <x v="6"/>
  </r>
  <r>
    <x v="930"/>
    <x v="3"/>
    <x v="4"/>
    <x v="2"/>
    <x v="3"/>
    <x v="4"/>
    <x v="22"/>
    <x v="66"/>
    <x v="5"/>
    <x v="52"/>
    <x v="6"/>
  </r>
  <r>
    <x v="931"/>
    <x v="3"/>
    <x v="3"/>
    <x v="0"/>
    <x v="3"/>
    <x v="1"/>
    <x v="8"/>
    <x v="9"/>
    <x v="7"/>
    <x v="9"/>
    <x v="6"/>
  </r>
  <r>
    <x v="932"/>
    <x v="2"/>
    <x v="0"/>
    <x v="1"/>
    <x v="2"/>
    <x v="1"/>
    <x v="6"/>
    <x v="11"/>
    <x v="8"/>
    <x v="11"/>
    <x v="6"/>
  </r>
  <r>
    <x v="933"/>
    <x v="3"/>
    <x v="2"/>
    <x v="1"/>
    <x v="3"/>
    <x v="4"/>
    <x v="22"/>
    <x v="88"/>
    <x v="13"/>
    <x v="64"/>
    <x v="6"/>
  </r>
  <r>
    <x v="934"/>
    <x v="3"/>
    <x v="4"/>
    <x v="0"/>
    <x v="3"/>
    <x v="3"/>
    <x v="16"/>
    <x v="80"/>
    <x v="7"/>
    <x v="31"/>
    <x v="6"/>
  </r>
  <r>
    <x v="935"/>
    <x v="2"/>
    <x v="3"/>
    <x v="1"/>
    <x v="2"/>
    <x v="1"/>
    <x v="6"/>
    <x v="11"/>
    <x v="8"/>
    <x v="11"/>
    <x v="6"/>
  </r>
  <r>
    <x v="936"/>
    <x v="3"/>
    <x v="3"/>
    <x v="3"/>
    <x v="3"/>
    <x v="1"/>
    <x v="8"/>
    <x v="45"/>
    <x v="14"/>
    <x v="20"/>
    <x v="6"/>
  </r>
  <r>
    <x v="937"/>
    <x v="3"/>
    <x v="2"/>
    <x v="3"/>
    <x v="3"/>
    <x v="3"/>
    <x v="16"/>
    <x v="26"/>
    <x v="14"/>
    <x v="0"/>
    <x v="6"/>
  </r>
  <r>
    <x v="938"/>
    <x v="3"/>
    <x v="2"/>
    <x v="2"/>
    <x v="3"/>
    <x v="2"/>
    <x v="4"/>
    <x v="5"/>
    <x v="5"/>
    <x v="5"/>
    <x v="6"/>
  </r>
  <r>
    <x v="939"/>
    <x v="2"/>
    <x v="0"/>
    <x v="2"/>
    <x v="2"/>
    <x v="0"/>
    <x v="5"/>
    <x v="29"/>
    <x v="6"/>
    <x v="25"/>
    <x v="6"/>
  </r>
  <r>
    <x v="940"/>
    <x v="1"/>
    <x v="1"/>
    <x v="2"/>
    <x v="1"/>
    <x v="1"/>
    <x v="1"/>
    <x v="18"/>
    <x v="12"/>
    <x v="16"/>
    <x v="6"/>
  </r>
  <r>
    <x v="941"/>
    <x v="4"/>
    <x v="2"/>
    <x v="3"/>
    <x v="4"/>
    <x v="1"/>
    <x v="24"/>
    <x v="86"/>
    <x v="9"/>
    <x v="62"/>
    <x v="6"/>
  </r>
  <r>
    <x v="942"/>
    <x v="3"/>
    <x v="4"/>
    <x v="2"/>
    <x v="3"/>
    <x v="4"/>
    <x v="22"/>
    <x v="66"/>
    <x v="5"/>
    <x v="52"/>
    <x v="6"/>
  </r>
  <r>
    <x v="943"/>
    <x v="0"/>
    <x v="2"/>
    <x v="3"/>
    <x v="0"/>
    <x v="1"/>
    <x v="10"/>
    <x v="76"/>
    <x v="16"/>
    <x v="58"/>
    <x v="7"/>
  </r>
  <r>
    <x v="944"/>
    <x v="3"/>
    <x v="3"/>
    <x v="3"/>
    <x v="3"/>
    <x v="4"/>
    <x v="22"/>
    <x v="85"/>
    <x v="14"/>
    <x v="61"/>
    <x v="7"/>
  </r>
  <r>
    <x v="945"/>
    <x v="0"/>
    <x v="1"/>
    <x v="3"/>
    <x v="0"/>
    <x v="0"/>
    <x v="0"/>
    <x v="73"/>
    <x v="16"/>
    <x v="56"/>
    <x v="7"/>
  </r>
  <r>
    <x v="946"/>
    <x v="3"/>
    <x v="4"/>
    <x v="3"/>
    <x v="3"/>
    <x v="4"/>
    <x v="22"/>
    <x v="85"/>
    <x v="14"/>
    <x v="61"/>
    <x v="7"/>
  </r>
  <r>
    <x v="947"/>
    <x v="0"/>
    <x v="0"/>
    <x v="1"/>
    <x v="0"/>
    <x v="1"/>
    <x v="10"/>
    <x v="13"/>
    <x v="2"/>
    <x v="13"/>
    <x v="7"/>
  </r>
  <r>
    <x v="948"/>
    <x v="4"/>
    <x v="0"/>
    <x v="2"/>
    <x v="4"/>
    <x v="3"/>
    <x v="11"/>
    <x v="46"/>
    <x v="17"/>
    <x v="6"/>
    <x v="7"/>
  </r>
  <r>
    <x v="949"/>
    <x v="4"/>
    <x v="0"/>
    <x v="3"/>
    <x v="4"/>
    <x v="0"/>
    <x v="15"/>
    <x v="23"/>
    <x v="9"/>
    <x v="20"/>
    <x v="7"/>
  </r>
  <r>
    <x v="950"/>
    <x v="1"/>
    <x v="4"/>
    <x v="3"/>
    <x v="1"/>
    <x v="2"/>
    <x v="2"/>
    <x v="43"/>
    <x v="15"/>
    <x v="36"/>
    <x v="7"/>
  </r>
  <r>
    <x v="951"/>
    <x v="0"/>
    <x v="3"/>
    <x v="0"/>
    <x v="0"/>
    <x v="1"/>
    <x v="10"/>
    <x v="7"/>
    <x v="0"/>
    <x v="7"/>
    <x v="7"/>
  </r>
  <r>
    <x v="952"/>
    <x v="2"/>
    <x v="3"/>
    <x v="0"/>
    <x v="2"/>
    <x v="1"/>
    <x v="6"/>
    <x v="20"/>
    <x v="4"/>
    <x v="18"/>
    <x v="7"/>
  </r>
  <r>
    <x v="953"/>
    <x v="4"/>
    <x v="0"/>
    <x v="2"/>
    <x v="4"/>
    <x v="4"/>
    <x v="12"/>
    <x v="87"/>
    <x v="17"/>
    <x v="63"/>
    <x v="7"/>
  </r>
  <r>
    <x v="954"/>
    <x v="2"/>
    <x v="3"/>
    <x v="3"/>
    <x v="2"/>
    <x v="2"/>
    <x v="9"/>
    <x v="49"/>
    <x v="0"/>
    <x v="39"/>
    <x v="7"/>
  </r>
  <r>
    <x v="955"/>
    <x v="4"/>
    <x v="4"/>
    <x v="1"/>
    <x v="4"/>
    <x v="4"/>
    <x v="12"/>
    <x v="82"/>
    <x v="11"/>
    <x v="60"/>
    <x v="7"/>
  </r>
  <r>
    <x v="956"/>
    <x v="3"/>
    <x v="3"/>
    <x v="2"/>
    <x v="3"/>
    <x v="1"/>
    <x v="8"/>
    <x v="32"/>
    <x v="5"/>
    <x v="27"/>
    <x v="7"/>
  </r>
  <r>
    <x v="957"/>
    <x v="0"/>
    <x v="4"/>
    <x v="1"/>
    <x v="0"/>
    <x v="1"/>
    <x v="10"/>
    <x v="13"/>
    <x v="2"/>
    <x v="13"/>
    <x v="7"/>
  </r>
  <r>
    <x v="958"/>
    <x v="1"/>
    <x v="0"/>
    <x v="0"/>
    <x v="1"/>
    <x v="3"/>
    <x v="23"/>
    <x v="72"/>
    <x v="3"/>
    <x v="24"/>
    <x v="7"/>
  </r>
  <r>
    <x v="959"/>
    <x v="1"/>
    <x v="2"/>
    <x v="2"/>
    <x v="1"/>
    <x v="4"/>
    <x v="21"/>
    <x v="75"/>
    <x v="12"/>
    <x v="57"/>
    <x v="7"/>
  </r>
  <r>
    <x v="960"/>
    <x v="0"/>
    <x v="2"/>
    <x v="3"/>
    <x v="0"/>
    <x v="2"/>
    <x v="17"/>
    <x v="61"/>
    <x v="16"/>
    <x v="48"/>
    <x v="7"/>
  </r>
  <r>
    <x v="961"/>
    <x v="3"/>
    <x v="3"/>
    <x v="3"/>
    <x v="3"/>
    <x v="0"/>
    <x v="13"/>
    <x v="89"/>
    <x v="14"/>
    <x v="65"/>
    <x v="7"/>
  </r>
  <r>
    <x v="962"/>
    <x v="0"/>
    <x v="1"/>
    <x v="0"/>
    <x v="0"/>
    <x v="3"/>
    <x v="20"/>
    <x v="14"/>
    <x v="0"/>
    <x v="14"/>
    <x v="7"/>
  </r>
  <r>
    <x v="963"/>
    <x v="1"/>
    <x v="3"/>
    <x v="2"/>
    <x v="1"/>
    <x v="0"/>
    <x v="14"/>
    <x v="39"/>
    <x v="12"/>
    <x v="5"/>
    <x v="7"/>
  </r>
  <r>
    <x v="964"/>
    <x v="2"/>
    <x v="2"/>
    <x v="2"/>
    <x v="2"/>
    <x v="1"/>
    <x v="6"/>
    <x v="6"/>
    <x v="6"/>
    <x v="6"/>
    <x v="7"/>
  </r>
  <r>
    <x v="965"/>
    <x v="4"/>
    <x v="3"/>
    <x v="0"/>
    <x v="4"/>
    <x v="1"/>
    <x v="24"/>
    <x v="68"/>
    <x v="10"/>
    <x v="54"/>
    <x v="7"/>
  </r>
  <r>
    <x v="966"/>
    <x v="1"/>
    <x v="0"/>
    <x v="1"/>
    <x v="1"/>
    <x v="4"/>
    <x v="21"/>
    <x v="42"/>
    <x v="1"/>
    <x v="35"/>
    <x v="7"/>
  </r>
  <r>
    <x v="967"/>
    <x v="4"/>
    <x v="4"/>
    <x v="1"/>
    <x v="4"/>
    <x v="1"/>
    <x v="24"/>
    <x v="67"/>
    <x v="11"/>
    <x v="53"/>
    <x v="7"/>
  </r>
  <r>
    <x v="968"/>
    <x v="1"/>
    <x v="4"/>
    <x v="0"/>
    <x v="1"/>
    <x v="3"/>
    <x v="23"/>
    <x v="72"/>
    <x v="3"/>
    <x v="24"/>
    <x v="7"/>
  </r>
  <r>
    <x v="969"/>
    <x v="3"/>
    <x v="0"/>
    <x v="3"/>
    <x v="3"/>
    <x v="3"/>
    <x v="16"/>
    <x v="26"/>
    <x v="14"/>
    <x v="0"/>
    <x v="7"/>
  </r>
  <r>
    <x v="970"/>
    <x v="0"/>
    <x v="3"/>
    <x v="1"/>
    <x v="0"/>
    <x v="1"/>
    <x v="10"/>
    <x v="13"/>
    <x v="2"/>
    <x v="13"/>
    <x v="7"/>
  </r>
  <r>
    <x v="971"/>
    <x v="4"/>
    <x v="2"/>
    <x v="3"/>
    <x v="4"/>
    <x v="3"/>
    <x v="11"/>
    <x v="15"/>
    <x v="9"/>
    <x v="7"/>
    <x v="7"/>
  </r>
  <r>
    <x v="972"/>
    <x v="2"/>
    <x v="1"/>
    <x v="1"/>
    <x v="2"/>
    <x v="3"/>
    <x v="3"/>
    <x v="62"/>
    <x v="8"/>
    <x v="49"/>
    <x v="7"/>
  </r>
  <r>
    <x v="973"/>
    <x v="3"/>
    <x v="3"/>
    <x v="3"/>
    <x v="3"/>
    <x v="1"/>
    <x v="8"/>
    <x v="45"/>
    <x v="14"/>
    <x v="20"/>
    <x v="7"/>
  </r>
  <r>
    <x v="974"/>
    <x v="3"/>
    <x v="1"/>
    <x v="0"/>
    <x v="3"/>
    <x v="4"/>
    <x v="22"/>
    <x v="50"/>
    <x v="7"/>
    <x v="40"/>
    <x v="8"/>
  </r>
  <r>
    <x v="975"/>
    <x v="3"/>
    <x v="4"/>
    <x v="1"/>
    <x v="3"/>
    <x v="2"/>
    <x v="4"/>
    <x v="21"/>
    <x v="13"/>
    <x v="19"/>
    <x v="8"/>
  </r>
  <r>
    <x v="976"/>
    <x v="2"/>
    <x v="4"/>
    <x v="2"/>
    <x v="2"/>
    <x v="2"/>
    <x v="9"/>
    <x v="84"/>
    <x v="6"/>
    <x v="47"/>
    <x v="8"/>
  </r>
  <r>
    <x v="977"/>
    <x v="2"/>
    <x v="1"/>
    <x v="3"/>
    <x v="2"/>
    <x v="0"/>
    <x v="5"/>
    <x v="0"/>
    <x v="0"/>
    <x v="0"/>
    <x v="8"/>
  </r>
  <r>
    <x v="978"/>
    <x v="0"/>
    <x v="2"/>
    <x v="1"/>
    <x v="0"/>
    <x v="3"/>
    <x v="20"/>
    <x v="64"/>
    <x v="2"/>
    <x v="50"/>
    <x v="8"/>
  </r>
  <r>
    <x v="979"/>
    <x v="4"/>
    <x v="2"/>
    <x v="2"/>
    <x v="4"/>
    <x v="3"/>
    <x v="11"/>
    <x v="46"/>
    <x v="17"/>
    <x v="6"/>
    <x v="8"/>
  </r>
  <r>
    <x v="980"/>
    <x v="4"/>
    <x v="4"/>
    <x v="1"/>
    <x v="4"/>
    <x v="0"/>
    <x v="15"/>
    <x v="63"/>
    <x v="11"/>
    <x v="34"/>
    <x v="8"/>
  </r>
  <r>
    <x v="981"/>
    <x v="3"/>
    <x v="0"/>
    <x v="0"/>
    <x v="3"/>
    <x v="2"/>
    <x v="4"/>
    <x v="71"/>
    <x v="7"/>
    <x v="37"/>
    <x v="8"/>
  </r>
  <r>
    <x v="982"/>
    <x v="4"/>
    <x v="4"/>
    <x v="1"/>
    <x v="4"/>
    <x v="0"/>
    <x v="15"/>
    <x v="63"/>
    <x v="11"/>
    <x v="34"/>
    <x v="8"/>
  </r>
  <r>
    <x v="983"/>
    <x v="1"/>
    <x v="0"/>
    <x v="2"/>
    <x v="1"/>
    <x v="4"/>
    <x v="21"/>
    <x v="75"/>
    <x v="12"/>
    <x v="57"/>
    <x v="8"/>
  </r>
  <r>
    <x v="984"/>
    <x v="3"/>
    <x v="0"/>
    <x v="1"/>
    <x v="3"/>
    <x v="3"/>
    <x v="16"/>
    <x v="83"/>
    <x v="13"/>
    <x v="23"/>
    <x v="8"/>
  </r>
  <r>
    <x v="985"/>
    <x v="2"/>
    <x v="4"/>
    <x v="2"/>
    <x v="2"/>
    <x v="0"/>
    <x v="5"/>
    <x v="29"/>
    <x v="6"/>
    <x v="25"/>
    <x v="8"/>
  </r>
  <r>
    <x v="986"/>
    <x v="0"/>
    <x v="1"/>
    <x v="0"/>
    <x v="0"/>
    <x v="3"/>
    <x v="20"/>
    <x v="14"/>
    <x v="0"/>
    <x v="14"/>
    <x v="8"/>
  </r>
  <r>
    <x v="987"/>
    <x v="2"/>
    <x v="0"/>
    <x v="0"/>
    <x v="2"/>
    <x v="0"/>
    <x v="5"/>
    <x v="37"/>
    <x v="4"/>
    <x v="31"/>
    <x v="8"/>
  </r>
  <r>
    <x v="988"/>
    <x v="1"/>
    <x v="2"/>
    <x v="3"/>
    <x v="1"/>
    <x v="2"/>
    <x v="2"/>
    <x v="43"/>
    <x v="15"/>
    <x v="36"/>
    <x v="8"/>
  </r>
  <r>
    <x v="989"/>
    <x v="3"/>
    <x v="1"/>
    <x v="1"/>
    <x v="3"/>
    <x v="0"/>
    <x v="13"/>
    <x v="19"/>
    <x v="13"/>
    <x v="17"/>
    <x v="8"/>
  </r>
  <r>
    <x v="990"/>
    <x v="0"/>
    <x v="2"/>
    <x v="2"/>
    <x v="0"/>
    <x v="1"/>
    <x v="10"/>
    <x v="20"/>
    <x v="4"/>
    <x v="18"/>
    <x v="8"/>
  </r>
  <r>
    <x v="991"/>
    <x v="1"/>
    <x v="4"/>
    <x v="3"/>
    <x v="1"/>
    <x v="1"/>
    <x v="1"/>
    <x v="77"/>
    <x v="15"/>
    <x v="38"/>
    <x v="8"/>
  </r>
  <r>
    <x v="992"/>
    <x v="4"/>
    <x v="2"/>
    <x v="1"/>
    <x v="4"/>
    <x v="4"/>
    <x v="12"/>
    <x v="82"/>
    <x v="11"/>
    <x v="60"/>
    <x v="8"/>
  </r>
  <r>
    <x v="993"/>
    <x v="4"/>
    <x v="2"/>
    <x v="2"/>
    <x v="4"/>
    <x v="2"/>
    <x v="19"/>
    <x v="79"/>
    <x v="17"/>
    <x v="16"/>
    <x v="8"/>
  </r>
  <r>
    <x v="994"/>
    <x v="2"/>
    <x v="0"/>
    <x v="2"/>
    <x v="2"/>
    <x v="1"/>
    <x v="6"/>
    <x v="6"/>
    <x v="6"/>
    <x v="6"/>
    <x v="8"/>
  </r>
  <r>
    <x v="995"/>
    <x v="2"/>
    <x v="3"/>
    <x v="1"/>
    <x v="2"/>
    <x v="0"/>
    <x v="5"/>
    <x v="27"/>
    <x v="8"/>
    <x v="23"/>
    <x v="8"/>
  </r>
  <r>
    <x v="996"/>
    <x v="4"/>
    <x v="0"/>
    <x v="1"/>
    <x v="4"/>
    <x v="4"/>
    <x v="12"/>
    <x v="82"/>
    <x v="11"/>
    <x v="60"/>
    <x v="8"/>
  </r>
  <r>
    <x v="997"/>
    <x v="2"/>
    <x v="3"/>
    <x v="3"/>
    <x v="2"/>
    <x v="3"/>
    <x v="3"/>
    <x v="14"/>
    <x v="0"/>
    <x v="14"/>
    <x v="8"/>
  </r>
  <r>
    <x v="998"/>
    <x v="0"/>
    <x v="4"/>
    <x v="1"/>
    <x v="0"/>
    <x v="3"/>
    <x v="20"/>
    <x v="64"/>
    <x v="2"/>
    <x v="50"/>
    <x v="8"/>
  </r>
  <r>
    <x v="999"/>
    <x v="3"/>
    <x v="0"/>
    <x v="2"/>
    <x v="3"/>
    <x v="1"/>
    <x v="8"/>
    <x v="32"/>
    <x v="5"/>
    <x v="27"/>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2DE222-D2F5-44C4-9D22-67B8FA9C40A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5:B111" firstHeaderRow="1" firstDataRow="1" firstDataCol="1"/>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items count="6">
        <item x="4"/>
        <item x="3"/>
        <item x="2"/>
        <item x="0"/>
        <item x="1"/>
        <item t="default"/>
      </items>
    </pivotField>
    <pivotField showAll="0">
      <items count="5">
        <item x="3"/>
        <item x="0"/>
        <item x="1"/>
        <item x="2"/>
        <item t="default"/>
      </items>
    </pivotField>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3"/>
    </i>
    <i>
      <x v="4"/>
    </i>
    <i>
      <x v="1"/>
    </i>
    <i>
      <x v="2"/>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289D44-25DE-411E-9759-86810427B41E}"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2"/>
        <item x="4"/>
        <item x="0"/>
        <item x="3"/>
        <item x="1"/>
        <item t="default"/>
      </items>
    </pivotField>
    <pivotField showAll="0">
      <items count="6">
        <item x="4"/>
        <item x="3"/>
        <item x="2"/>
        <item x="0"/>
        <item x="1"/>
        <item t="default"/>
      </items>
    </pivotField>
    <pivotField showAll="0">
      <items count="5">
        <item x="3"/>
        <item x="0"/>
        <item x="1"/>
        <item x="2"/>
        <item t="default"/>
      </items>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Revenue" fld="7" baseField="0" baseItem="0" numFmtId="164"/>
  </dataFields>
  <formats count="1">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2FB1CF-64A4-4D67-B9C4-C0889053BD4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66:B72" firstHeaderRow="1" firstDataRow="1" firstDataCol="1"/>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6">
        <item x="2"/>
        <item x="4"/>
        <item x="0"/>
        <item x="3"/>
        <item x="1"/>
        <item t="default"/>
      </items>
    </pivotField>
    <pivotField showAll="0">
      <items count="6">
        <item x="4"/>
        <item x="3"/>
        <item x="2"/>
        <item x="0"/>
        <item x="1"/>
        <item t="default"/>
      </items>
    </pivotField>
    <pivotField showAll="0">
      <items count="5">
        <item x="3"/>
        <item x="0"/>
        <item x="1"/>
        <item x="2"/>
        <item t="default"/>
      </items>
    </pivotField>
    <pivotField showAll="0"/>
    <pivotField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GST" fld="6" baseField="0" baseItem="0"/>
  </dataFields>
  <chartFormats count="7">
    <chartFormat chart="16"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1" count="1" selected="0">
            <x v="0"/>
          </reference>
        </references>
      </pivotArea>
    </chartFormat>
    <chartFormat chart="23" format="4">
      <pivotArea type="data" outline="0" fieldPosition="0">
        <references count="2">
          <reference field="4294967294" count="1" selected="0">
            <x v="0"/>
          </reference>
          <reference field="1" count="1" selected="0">
            <x v="1"/>
          </reference>
        </references>
      </pivotArea>
    </chartFormat>
    <chartFormat chart="23" format="5">
      <pivotArea type="data" outline="0" fieldPosition="0">
        <references count="2">
          <reference field="4294967294" count="1" selected="0">
            <x v="0"/>
          </reference>
          <reference field="1" count="1" selected="0">
            <x v="2"/>
          </reference>
        </references>
      </pivotArea>
    </chartFormat>
    <chartFormat chart="23" format="6">
      <pivotArea type="data" outline="0" fieldPosition="0">
        <references count="2">
          <reference field="4294967294" count="1" selected="0">
            <x v="0"/>
          </reference>
          <reference field="1" count="1" selected="0">
            <x v="3"/>
          </reference>
        </references>
      </pivotArea>
    </chartFormat>
    <chartFormat chart="23" format="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4B30F3-73C8-4278-8A3A-C39AD9A4AA5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91:B97" firstHeaderRow="1" firstDataRow="1" firstDataCol="1"/>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2"/>
        <item x="4"/>
        <item x="0"/>
        <item x="3"/>
        <item x="1"/>
        <item t="default"/>
      </items>
    </pivotField>
    <pivotField axis="axisRow" showAll="0">
      <items count="6">
        <item x="4"/>
        <item x="3"/>
        <item x="2"/>
        <item x="0"/>
        <item x="1"/>
        <item t="default"/>
      </items>
    </pivotField>
    <pivotField dataField="1" showAll="0">
      <items count="5">
        <item x="3"/>
        <item x="0"/>
        <item x="1"/>
        <item x="2"/>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Items count="1">
    <i/>
  </colItems>
  <dataFields count="1">
    <dataField name="Sum of Units Sold" fld="3"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2" count="1" selected="0">
            <x v="0"/>
          </reference>
        </references>
      </pivotArea>
    </chartFormat>
    <chartFormat chart="10" format="14">
      <pivotArea type="data" outline="0" fieldPosition="0">
        <references count="2">
          <reference field="4294967294" count="1" selected="0">
            <x v="0"/>
          </reference>
          <reference field="2" count="1" selected="0">
            <x v="1"/>
          </reference>
        </references>
      </pivotArea>
    </chartFormat>
    <chartFormat chart="10" format="15">
      <pivotArea type="data" outline="0" fieldPosition="0">
        <references count="2">
          <reference field="4294967294" count="1" selected="0">
            <x v="0"/>
          </reference>
          <reference field="2" count="1" selected="0">
            <x v="2"/>
          </reference>
        </references>
      </pivotArea>
    </chartFormat>
    <chartFormat chart="10" format="16">
      <pivotArea type="data" outline="0" fieldPosition="0">
        <references count="2">
          <reference field="4294967294" count="1" selected="0">
            <x v="0"/>
          </reference>
          <reference field="2" count="1" selected="0">
            <x v="3"/>
          </reference>
        </references>
      </pivotArea>
    </chartFormat>
    <chartFormat chart="10"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AFDB29-F401-47FF-B69A-3C3FD70B25F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
  <location ref="A99:A100" firstHeaderRow="1" firstDataRow="1" firstDataCol="0"/>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2"/>
        <item x="4"/>
        <item x="0"/>
        <item x="3"/>
        <item x="1"/>
        <item t="default"/>
      </items>
    </pivotField>
    <pivotField showAll="0">
      <items count="6">
        <item x="4"/>
        <item x="3"/>
        <item x="2"/>
        <item x="0"/>
        <item x="1"/>
        <item t="default"/>
      </items>
    </pivotField>
    <pivotField showAll="0">
      <items count="5">
        <item x="3"/>
        <item x="0"/>
        <item x="1"/>
        <item x="2"/>
        <item t="default"/>
      </items>
    </pivotField>
    <pivotField showAll="0"/>
    <pivotField showAll="0"/>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sortType="ascending" defaultSubtotal="0">
      <items count="5">
        <item sd="0" x="3"/>
        <item sd="0" x="2"/>
        <item sd="0" x="1"/>
        <item sd="0" x="4"/>
        <item sd="0" x="0"/>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DBCD02-6BFB-4E30-8C9B-20542D49796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4:C80" firstHeaderRow="0" firstDataRow="1" firstDataCol="1"/>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6">
        <item x="2"/>
        <item x="4"/>
        <item x="0"/>
        <item x="3"/>
        <item x="1"/>
        <item t="default"/>
      </items>
    </pivotField>
    <pivotField showAll="0">
      <items count="6">
        <item x="4"/>
        <item x="3"/>
        <item x="2"/>
        <item x="0"/>
        <item x="1"/>
        <item t="default"/>
      </items>
    </pivotField>
    <pivotField showAll="0">
      <items count="5">
        <item x="3"/>
        <item x="0"/>
        <item x="1"/>
        <item x="2"/>
        <item t="default"/>
      </items>
    </pivotField>
    <pivotField showAll="0"/>
    <pivotField showAll="0"/>
    <pivotField showAll="0"/>
    <pivotField dataField="1"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Fields count="1">
    <field x="-2"/>
  </colFields>
  <colItems count="2">
    <i>
      <x/>
    </i>
    <i i="1">
      <x v="1"/>
    </i>
  </colItems>
  <dataFields count="2">
    <dataField name="Sum of Revenue" fld="7"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499861-3693-44B4-BFC8-EE4584729E1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1:B17" firstHeaderRow="1" firstDataRow="1" firstDataCol="1"/>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6">
        <item x="2"/>
        <item x="4"/>
        <item x="0"/>
        <item x="3"/>
        <item x="1"/>
        <item t="default"/>
      </items>
    </pivotField>
    <pivotField showAll="0">
      <items count="6">
        <item x="4"/>
        <item x="3"/>
        <item x="2"/>
        <item x="0"/>
        <item x="1"/>
        <item t="default"/>
      </items>
    </pivotField>
    <pivotField showAll="0">
      <items count="5">
        <item x="3"/>
        <item x="0"/>
        <item x="1"/>
        <item x="2"/>
        <item t="default"/>
      </items>
    </pivotField>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Profit" fld="9"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1" count="1" selected="0">
            <x v="0"/>
          </reference>
        </references>
      </pivotArea>
    </chartFormat>
    <chartFormat chart="11" format="14">
      <pivotArea type="data" outline="0" fieldPosition="0">
        <references count="2">
          <reference field="4294967294" count="1" selected="0">
            <x v="0"/>
          </reference>
          <reference field="1" count="1" selected="0">
            <x v="1"/>
          </reference>
        </references>
      </pivotArea>
    </chartFormat>
    <chartFormat chart="11" format="15">
      <pivotArea type="data" outline="0" fieldPosition="0">
        <references count="2">
          <reference field="4294967294" count="1" selected="0">
            <x v="0"/>
          </reference>
          <reference field="1" count="1" selected="0">
            <x v="2"/>
          </reference>
        </references>
      </pivotArea>
    </chartFormat>
    <chartFormat chart="11" format="16">
      <pivotArea type="data" outline="0" fieldPosition="0">
        <references count="2">
          <reference field="4294967294" count="1" selected="0">
            <x v="0"/>
          </reference>
          <reference field="1" count="1" selected="0">
            <x v="3"/>
          </reference>
        </references>
      </pivotArea>
    </chartFormat>
    <chartFormat chart="11"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C5616E-6B32-498F-865A-9D141C5F78D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B9" firstHeaderRow="1" firstDataRow="1" firstDataCol="1"/>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6">
        <item x="2"/>
        <item x="4"/>
        <item x="0"/>
        <item x="3"/>
        <item x="1"/>
        <item t="default"/>
      </items>
    </pivotField>
    <pivotField showAll="0">
      <items count="6">
        <item x="4"/>
        <item x="3"/>
        <item x="2"/>
        <item x="0"/>
        <item x="1"/>
        <item t="default"/>
      </items>
    </pivotField>
    <pivotField showAll="0">
      <items count="5">
        <item x="3"/>
        <item x="0"/>
        <item x="1"/>
        <item x="2"/>
        <item t="default"/>
      </items>
    </pivotField>
    <pivotField showAll="0"/>
    <pivotField showAll="0"/>
    <pivotField showAll="0"/>
    <pivotField dataField="1" showAll="0">
      <items count="91">
        <item x="53"/>
        <item x="76"/>
        <item x="73"/>
        <item x="61"/>
        <item x="40"/>
        <item x="54"/>
        <item x="86"/>
        <item x="23"/>
        <item x="48"/>
        <item x="15"/>
        <item x="85"/>
        <item x="45"/>
        <item x="89"/>
        <item x="51"/>
        <item x="26"/>
        <item x="56"/>
        <item x="77"/>
        <item x="33"/>
        <item x="43"/>
        <item x="58"/>
        <item x="12"/>
        <item x="7"/>
        <item x="0"/>
        <item x="49"/>
        <item x="14"/>
        <item x="34"/>
        <item x="13"/>
        <item x="2"/>
        <item x="38"/>
        <item x="64"/>
        <item x="16"/>
        <item x="68"/>
        <item x="81"/>
        <item x="36"/>
        <item x="31"/>
        <item x="50"/>
        <item x="9"/>
        <item x="59"/>
        <item x="71"/>
        <item x="80"/>
        <item x="55"/>
        <item x="24"/>
        <item x="47"/>
        <item x="3"/>
        <item x="72"/>
        <item x="8"/>
        <item x="20"/>
        <item x="37"/>
        <item x="28"/>
        <item x="4"/>
        <item x="82"/>
        <item x="67"/>
        <item x="63"/>
        <item x="57"/>
        <item x="17"/>
        <item x="88"/>
        <item x="41"/>
        <item x="19"/>
        <item x="21"/>
        <item x="83"/>
        <item x="42"/>
        <item x="1"/>
        <item x="22"/>
        <item x="52"/>
        <item x="74"/>
        <item x="25"/>
        <item x="11"/>
        <item x="27"/>
        <item x="10"/>
        <item x="62"/>
        <item x="87"/>
        <item x="65"/>
        <item x="70"/>
        <item x="79"/>
        <item x="46"/>
        <item x="66"/>
        <item x="32"/>
        <item x="69"/>
        <item x="5"/>
        <item x="44"/>
        <item x="75"/>
        <item x="18"/>
        <item x="39"/>
        <item x="78"/>
        <item x="60"/>
        <item x="30"/>
        <item x="6"/>
        <item x="29"/>
        <item x="84"/>
        <item x="35"/>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6">
    <i>
      <x/>
    </i>
    <i>
      <x v="1"/>
    </i>
    <i>
      <x v="2"/>
    </i>
    <i>
      <x v="3"/>
    </i>
    <i>
      <x v="4"/>
    </i>
    <i t="grand">
      <x/>
    </i>
  </rowItems>
  <colItems count="1">
    <i/>
  </colItems>
  <dataFields count="1">
    <dataField name="Sum of Revenue" fld="7" baseField="0" baseItem="0"/>
  </dataFields>
  <chartFormats count="7">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4"/>
          </reference>
        </references>
      </pivotArea>
    </chartFormat>
    <chartFormat chart="10" format="4">
      <pivotArea type="data" outline="0" fieldPosition="0">
        <references count="2">
          <reference field="4294967294" count="1" selected="0">
            <x v="0"/>
          </reference>
          <reference field="1" count="1" selected="0">
            <x v="3"/>
          </reference>
        </references>
      </pivotArea>
    </chartFormat>
    <chartFormat chart="10" format="5">
      <pivotArea type="data" outline="0" fieldPosition="0">
        <references count="2">
          <reference field="4294967294" count="1" selected="0">
            <x v="0"/>
          </reference>
          <reference field="1" count="1" selected="0">
            <x v="2"/>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10" format="7">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9FE46A-1475-428F-99D3-A6F11B1E75F1}"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28:B134" firstHeaderRow="1" firstDataRow="1" firstDataCol="1"/>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6">
        <item x="2"/>
        <item x="4"/>
        <item x="0"/>
        <item x="3"/>
        <item x="1"/>
        <item t="default"/>
      </items>
    </pivotField>
    <pivotField showAll="0">
      <items count="6">
        <item x="4"/>
        <item x="3"/>
        <item x="2"/>
        <item x="0"/>
        <item x="1"/>
        <item t="default"/>
      </items>
    </pivotField>
    <pivotField showAll="0">
      <items count="5">
        <item x="3"/>
        <item x="0"/>
        <item x="1"/>
        <item x="2"/>
        <item t="default"/>
      </items>
    </pivotField>
    <pivotField showAll="0"/>
    <pivotField showAll="0"/>
    <pivotField showAll="0"/>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Cost" fld="8" baseField="0" baseItem="0"/>
  </dataFields>
  <chartFormats count="7">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2"/>
          </reference>
        </references>
      </pivotArea>
    </chartFormat>
    <chartFormat chart="7" format="4">
      <pivotArea type="data" outline="0" fieldPosition="0">
        <references count="2">
          <reference field="4294967294" count="1" selected="0">
            <x v="0"/>
          </reference>
          <reference field="1" count="1" selected="0">
            <x v="3"/>
          </reference>
        </references>
      </pivotArea>
    </chartFormat>
    <chartFormat chart="7" format="5">
      <pivotArea type="data" outline="0" fieldPosition="0">
        <references count="2">
          <reference field="4294967294" count="1" selected="0">
            <x v="0"/>
          </reference>
          <reference field="1" count="1" selected="0">
            <x v="4"/>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D848FC-C82A-4796-BE9F-A5939355759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5:B48" firstHeaderRow="1" firstDataRow="1" firstDataCol="1"/>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2"/>
        <item x="4"/>
        <item x="0"/>
        <item x="3"/>
        <item x="1"/>
        <item t="default"/>
      </items>
    </pivotField>
    <pivotField showAll="0">
      <items count="6">
        <item x="4"/>
        <item x="3"/>
        <item x="2"/>
        <item x="0"/>
        <item x="1"/>
        <item t="default"/>
      </items>
    </pivotField>
    <pivotField showAll="0">
      <items count="5">
        <item x="3"/>
        <item x="0"/>
        <item x="1"/>
        <item x="2"/>
        <item t="default"/>
      </items>
    </pivotField>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Revenue" fld="7" baseField="0" baseItem="0"/>
  </dataFields>
  <chartFormats count="26">
    <chartFormat chart="0" format="0"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1" count="1" selected="0">
            <x v="1"/>
          </reference>
        </references>
      </pivotArea>
    </chartFormat>
    <chartFormat chart="6" format="16">
      <pivotArea type="data" outline="0" fieldPosition="0">
        <references count="2">
          <reference field="4294967294" count="1" selected="0">
            <x v="0"/>
          </reference>
          <reference field="11" count="1" selected="0">
            <x v="2"/>
          </reference>
        </references>
      </pivotArea>
    </chartFormat>
    <chartFormat chart="6" format="17">
      <pivotArea type="data" outline="0" fieldPosition="0">
        <references count="2">
          <reference field="4294967294" count="1" selected="0">
            <x v="0"/>
          </reference>
          <reference field="11" count="1" selected="0">
            <x v="3"/>
          </reference>
        </references>
      </pivotArea>
    </chartFormat>
    <chartFormat chart="6" format="18">
      <pivotArea type="data" outline="0" fieldPosition="0">
        <references count="2">
          <reference field="4294967294" count="1" selected="0">
            <x v="0"/>
          </reference>
          <reference field="11" count="1" selected="0">
            <x v="4"/>
          </reference>
        </references>
      </pivotArea>
    </chartFormat>
    <chartFormat chart="6" format="19">
      <pivotArea type="data" outline="0" fieldPosition="0">
        <references count="2">
          <reference field="4294967294" count="1" selected="0">
            <x v="0"/>
          </reference>
          <reference field="11" count="1" selected="0">
            <x v="5"/>
          </reference>
        </references>
      </pivotArea>
    </chartFormat>
    <chartFormat chart="6" format="20">
      <pivotArea type="data" outline="0" fieldPosition="0">
        <references count="2">
          <reference field="4294967294" count="1" selected="0">
            <x v="0"/>
          </reference>
          <reference field="11" count="1" selected="0">
            <x v="6"/>
          </reference>
        </references>
      </pivotArea>
    </chartFormat>
    <chartFormat chart="6" format="21">
      <pivotArea type="data" outline="0" fieldPosition="0">
        <references count="2">
          <reference field="4294967294" count="1" selected="0">
            <x v="0"/>
          </reference>
          <reference field="11" count="1" selected="0">
            <x v="7"/>
          </reference>
        </references>
      </pivotArea>
    </chartFormat>
    <chartFormat chart="6" format="22">
      <pivotArea type="data" outline="0" fieldPosition="0">
        <references count="2">
          <reference field="4294967294" count="1" selected="0">
            <x v="0"/>
          </reference>
          <reference field="11" count="1" selected="0">
            <x v="8"/>
          </reference>
        </references>
      </pivotArea>
    </chartFormat>
    <chartFormat chart="6" format="23">
      <pivotArea type="data" outline="0" fieldPosition="0">
        <references count="2">
          <reference field="4294967294" count="1" selected="0">
            <x v="0"/>
          </reference>
          <reference field="11" count="1" selected="0">
            <x v="9"/>
          </reference>
        </references>
      </pivotArea>
    </chartFormat>
    <chartFormat chart="6" format="24">
      <pivotArea type="data" outline="0" fieldPosition="0">
        <references count="2">
          <reference field="4294967294" count="1" selected="0">
            <x v="0"/>
          </reference>
          <reference field="11" count="1" selected="0">
            <x v="10"/>
          </reference>
        </references>
      </pivotArea>
    </chartFormat>
    <chartFormat chart="6" format="25">
      <pivotArea type="data" outline="0" fieldPosition="0">
        <references count="2">
          <reference field="4294967294" count="1" selected="0">
            <x v="0"/>
          </reference>
          <reference field="11" count="1" selected="0">
            <x v="11"/>
          </reference>
        </references>
      </pivotArea>
    </chartFormat>
    <chartFormat chart="6" format="26">
      <pivotArea type="data" outline="0" fieldPosition="0">
        <references count="2">
          <reference field="4294967294" count="1" selected="0">
            <x v="0"/>
          </reference>
          <reference field="11" count="1" selected="0">
            <x v="12"/>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4"/>
          </reference>
        </references>
      </pivotArea>
    </chartFormat>
    <chartFormat chart="0" format="5">
      <pivotArea type="data" outline="0" fieldPosition="0">
        <references count="2">
          <reference field="4294967294" count="1" selected="0">
            <x v="0"/>
          </reference>
          <reference field="11" count="1" selected="0">
            <x v="5"/>
          </reference>
        </references>
      </pivotArea>
    </chartFormat>
    <chartFormat chart="0" format="6">
      <pivotArea type="data" outline="0" fieldPosition="0">
        <references count="2">
          <reference field="4294967294" count="1" selected="0">
            <x v="0"/>
          </reference>
          <reference field="11" count="1" selected="0">
            <x v="6"/>
          </reference>
        </references>
      </pivotArea>
    </chartFormat>
    <chartFormat chart="0" format="7">
      <pivotArea type="data" outline="0" fieldPosition="0">
        <references count="2">
          <reference field="4294967294" count="1" selected="0">
            <x v="0"/>
          </reference>
          <reference field="11" count="1" selected="0">
            <x v="7"/>
          </reference>
        </references>
      </pivotArea>
    </chartFormat>
    <chartFormat chart="0" format="8">
      <pivotArea type="data" outline="0" fieldPosition="0">
        <references count="2">
          <reference field="4294967294" count="1" selected="0">
            <x v="0"/>
          </reference>
          <reference field="11" count="1" selected="0">
            <x v="8"/>
          </reference>
        </references>
      </pivotArea>
    </chartFormat>
    <chartFormat chart="0" format="9">
      <pivotArea type="data" outline="0" fieldPosition="0">
        <references count="2">
          <reference field="4294967294" count="1" selected="0">
            <x v="0"/>
          </reference>
          <reference field="11" count="1" selected="0">
            <x v="9"/>
          </reference>
        </references>
      </pivotArea>
    </chartFormat>
    <chartFormat chart="0" format="10">
      <pivotArea type="data" outline="0" fieldPosition="0">
        <references count="2">
          <reference field="4294967294" count="1" selected="0">
            <x v="0"/>
          </reference>
          <reference field="11" count="1" selected="0">
            <x v="10"/>
          </reference>
        </references>
      </pivotArea>
    </chartFormat>
    <chartFormat chart="0" format="11">
      <pivotArea type="data" outline="0" fieldPosition="0">
        <references count="2">
          <reference field="4294967294" count="1" selected="0">
            <x v="0"/>
          </reference>
          <reference field="11" count="1" selected="0">
            <x v="11"/>
          </reference>
        </references>
      </pivotArea>
    </chartFormat>
    <chartFormat chart="0" format="12">
      <pivotArea type="data" outline="0" fieldPosition="0">
        <references count="2">
          <reference field="4294967294" count="1" selected="0">
            <x v="0"/>
          </reference>
          <reference field="1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D0DDCA-43F7-40B4-A876-B37A46E2434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9:B25" firstHeaderRow="1" firstDataRow="1" firstDataCol="1"/>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2"/>
        <item x="4"/>
        <item x="0"/>
        <item x="3"/>
        <item x="1"/>
        <item t="default"/>
      </items>
    </pivotField>
    <pivotField axis="axisRow" showAll="0">
      <items count="6">
        <item x="4"/>
        <item x="3"/>
        <item x="2"/>
        <item x="0"/>
        <item x="1"/>
        <item t="default"/>
      </items>
    </pivotField>
    <pivotField showAll="0">
      <items count="5">
        <item x="3"/>
        <item x="0"/>
        <item x="1"/>
        <item x="2"/>
        <item t="default"/>
      </items>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Items count="1">
    <i/>
  </colItems>
  <dataFields count="1">
    <dataField name="Sum of Revenue" fld="7" baseField="0" baseItem="0"/>
  </dataFields>
  <chartFormats count="7">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4"/>
          </reference>
        </references>
      </pivotArea>
    </chartFormat>
    <chartFormat chart="7" format="4">
      <pivotArea type="data" outline="0" fieldPosition="0">
        <references count="2">
          <reference field="4294967294" count="1" selected="0">
            <x v="0"/>
          </reference>
          <reference field="2" count="1" selected="0">
            <x v="1"/>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2"/>
          </reference>
        </references>
      </pivotArea>
    </chartFormat>
    <chartFormat chart="7" format="7">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BEB0B3-5267-46C7-AFA3-3C13DB853B9C}"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G9" firstHeaderRow="1" firstDataRow="1" firstDataCol="0"/>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2"/>
        <item x="4"/>
        <item x="0"/>
        <item x="3"/>
        <item x="1"/>
        <item t="default"/>
      </items>
    </pivotField>
    <pivotField showAll="0">
      <items count="6">
        <item x="4"/>
        <item x="3"/>
        <item x="2"/>
        <item x="0"/>
        <item x="1"/>
        <item t="default"/>
      </items>
    </pivotField>
    <pivotField showAll="0">
      <items count="5">
        <item x="3"/>
        <item x="0"/>
        <item x="1"/>
        <item x="2"/>
        <item t="default"/>
      </items>
    </pivotField>
    <pivotField showAll="0"/>
    <pivotField dataField="1"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Discount %" fld="5" subtotal="average" baseField="0" baseItem="1" numFmtId="2"/>
  </dataFields>
  <formats count="2">
    <format dxfId="70">
      <pivotArea outline="0" collapsedLevelsAreSubtotals="1" fieldPosition="0"/>
    </format>
    <format dxfId="6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808F09-279F-426C-B47A-660431DA3DD2}"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2"/>
        <item x="4"/>
        <item x="0"/>
        <item x="3"/>
        <item x="1"/>
        <item t="default"/>
      </items>
    </pivotField>
    <pivotField showAll="0">
      <items count="6">
        <item x="4"/>
        <item x="3"/>
        <item x="2"/>
        <item x="0"/>
        <item x="1"/>
        <item t="default"/>
      </items>
    </pivotField>
    <pivotField showAll="0">
      <items count="5">
        <item x="3"/>
        <item x="0"/>
        <item x="1"/>
        <item x="2"/>
        <item t="default"/>
      </items>
    </pivotField>
    <pivotField showAll="0"/>
    <pivotField showAll="0"/>
    <pivotField showAll="0"/>
    <pivotField showAll="0"/>
    <pivotField showAll="0"/>
    <pivotField dataField="1" showAll="0">
      <items count="67">
        <item x="42"/>
        <item x="58"/>
        <item x="56"/>
        <item x="48"/>
        <item x="33"/>
        <item x="43"/>
        <item x="61"/>
        <item x="62"/>
        <item x="45"/>
        <item x="20"/>
        <item x="12"/>
        <item x="38"/>
        <item x="65"/>
        <item x="7"/>
        <item x="28"/>
        <item x="0"/>
        <item x="36"/>
        <item x="39"/>
        <item x="14"/>
        <item x="29"/>
        <item x="13"/>
        <item x="15"/>
        <item x="2"/>
        <item x="40"/>
        <item x="54"/>
        <item x="32"/>
        <item x="44"/>
        <item x="9"/>
        <item x="50"/>
        <item x="8"/>
        <item x="21"/>
        <item x="46"/>
        <item x="18"/>
        <item x="37"/>
        <item x="31"/>
        <item x="3"/>
        <item x="24"/>
        <item x="60"/>
        <item x="4"/>
        <item x="64"/>
        <item x="53"/>
        <item x="35"/>
        <item x="34"/>
        <item x="22"/>
        <item x="1"/>
        <item x="17"/>
        <item x="11"/>
        <item x="19"/>
        <item x="63"/>
        <item x="23"/>
        <item x="41"/>
        <item x="52"/>
        <item x="51"/>
        <item x="10"/>
        <item x="57"/>
        <item x="27"/>
        <item x="49"/>
        <item x="26"/>
        <item x="16"/>
        <item x="55"/>
        <item x="6"/>
        <item x="5"/>
        <item x="25"/>
        <item x="59"/>
        <item x="47"/>
        <item x="30"/>
        <item t="default"/>
      </items>
    </pivotField>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Profit" fld="9" baseField="0" baseItem="0" numFmtId="164"/>
  </dataFields>
  <formats count="2">
    <format dxfId="72">
      <pivotArea outline="0" fieldPosition="0">
        <references count="1">
          <reference field="4294967294" count="1">
            <x v="0"/>
          </reference>
        </references>
      </pivotArea>
    </format>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EB7E7FD-8D09-4620-ADEF-069517DFD49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2:G89" firstHeaderRow="1" firstDataRow="2" firstDataCol="1"/>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6">
        <item x="2"/>
        <item x="4"/>
        <item x="0"/>
        <item x="3"/>
        <item x="1"/>
        <item t="default"/>
      </items>
    </pivotField>
    <pivotField axis="axisCol" showAll="0">
      <items count="6">
        <item x="4"/>
        <item x="3"/>
        <item x="2"/>
        <item x="0"/>
        <item x="1"/>
        <item t="default"/>
      </items>
    </pivotField>
    <pivotField showAll="0">
      <items count="5">
        <item x="3"/>
        <item x="0"/>
        <item x="1"/>
        <item x="2"/>
        <item t="default"/>
      </items>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Fields count="1">
    <field x="2"/>
  </colFields>
  <colItems count="6">
    <i>
      <x/>
    </i>
    <i>
      <x v="1"/>
    </i>
    <i>
      <x v="2"/>
    </i>
    <i>
      <x v="3"/>
    </i>
    <i>
      <x v="4"/>
    </i>
    <i t="grand">
      <x/>
    </i>
  </colItems>
  <dataFields count="1">
    <dataField name="Sum of Revenue" fld="7"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6" format="10" series="1">
      <pivotArea type="data" outline="0" fieldPosition="0">
        <references count="2">
          <reference field="4294967294" count="1" selected="0">
            <x v="0"/>
          </reference>
          <reference field="2" count="1" selected="0">
            <x v="0"/>
          </reference>
        </references>
      </pivotArea>
    </chartFormat>
    <chartFormat chart="6" format="11" series="1">
      <pivotArea type="data" outline="0" fieldPosition="0">
        <references count="2">
          <reference field="4294967294" count="1" selected="0">
            <x v="0"/>
          </reference>
          <reference field="2" count="1" selected="0">
            <x v="1"/>
          </reference>
        </references>
      </pivotArea>
    </chartFormat>
    <chartFormat chart="6" format="12" series="1">
      <pivotArea type="data" outline="0" fieldPosition="0">
        <references count="2">
          <reference field="4294967294" count="1" selected="0">
            <x v="0"/>
          </reference>
          <reference field="2" count="1" selected="0">
            <x v="2"/>
          </reference>
        </references>
      </pivotArea>
    </chartFormat>
    <chartFormat chart="6" format="13" series="1">
      <pivotArea type="data" outline="0" fieldPosition="0">
        <references count="2">
          <reference field="4294967294" count="1" selected="0">
            <x v="0"/>
          </reference>
          <reference field="2" count="1" selected="0">
            <x v="3"/>
          </reference>
        </references>
      </pivotArea>
    </chartFormat>
    <chartFormat chart="6"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5E5EACB-9AC5-4697-B4E5-FCA8A012C34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8:B64" firstHeaderRow="1" firstDataRow="1" firstDataCol="1"/>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6">
        <item x="2"/>
        <item x="4"/>
        <item x="0"/>
        <item x="3"/>
        <item x="1"/>
        <item t="default"/>
      </items>
    </pivotField>
    <pivotField showAll="0">
      <items count="6">
        <item x="4"/>
        <item x="3"/>
        <item x="2"/>
        <item x="0"/>
        <item x="1"/>
        <item t="default"/>
      </items>
    </pivotField>
    <pivotField showAll="0">
      <items count="5">
        <item x="3"/>
        <item x="0"/>
        <item x="1"/>
        <item x="2"/>
        <item t="default"/>
      </items>
    </pivotField>
    <pivotField showAll="0"/>
    <pivotField dataField="1"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Average of Discount %" fld="5" subtotal="average" baseField="1" baseItem="0"/>
  </dataField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 count="1" selected="0">
            <x v="0"/>
          </reference>
        </references>
      </pivotArea>
    </chartFormat>
    <chartFormat chart="17" format="14">
      <pivotArea type="data" outline="0" fieldPosition="0">
        <references count="2">
          <reference field="4294967294" count="1" selected="0">
            <x v="0"/>
          </reference>
          <reference field="1" count="1" selected="0">
            <x v="1"/>
          </reference>
        </references>
      </pivotArea>
    </chartFormat>
    <chartFormat chart="17" format="15">
      <pivotArea type="data" outline="0" fieldPosition="0">
        <references count="2">
          <reference field="4294967294" count="1" selected="0">
            <x v="0"/>
          </reference>
          <reference field="1" count="1" selected="0">
            <x v="2"/>
          </reference>
        </references>
      </pivotArea>
    </chartFormat>
    <chartFormat chart="17" format="16">
      <pivotArea type="data" outline="0" fieldPosition="0">
        <references count="2">
          <reference field="4294967294" count="1" selected="0">
            <x v="0"/>
          </reference>
          <reference field="1" count="1" selected="0">
            <x v="3"/>
          </reference>
        </references>
      </pivotArea>
    </chartFormat>
    <chartFormat chart="17"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F6D105A-7C56-42F9-8609-E589AEEF831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0:B56" firstHeaderRow="1" firstDataRow="1" firstDataCol="1"/>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2"/>
        <item x="4"/>
        <item x="0"/>
        <item x="3"/>
        <item x="1"/>
        <item t="default"/>
      </items>
    </pivotField>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pivotField showAll="0"/>
    <pivotField showAll="0"/>
    <pivotField showAll="0">
      <items count="19">
        <item x="16"/>
        <item x="9"/>
        <item x="14"/>
        <item x="15"/>
        <item x="0"/>
        <item x="2"/>
        <item x="10"/>
        <item x="7"/>
        <item x="3"/>
        <item x="4"/>
        <item x="11"/>
        <item x="13"/>
        <item x="1"/>
        <item x="8"/>
        <item x="17"/>
        <item x="5"/>
        <item x="12"/>
        <item x="6"/>
        <item t="default"/>
      </items>
    </pivotField>
    <pivotField dataField="1" showAll="0">
      <items count="67">
        <item x="42"/>
        <item x="58"/>
        <item x="56"/>
        <item x="48"/>
        <item x="33"/>
        <item x="43"/>
        <item x="61"/>
        <item x="62"/>
        <item x="45"/>
        <item x="20"/>
        <item x="12"/>
        <item x="38"/>
        <item x="65"/>
        <item x="7"/>
        <item x="28"/>
        <item x="0"/>
        <item x="36"/>
        <item x="39"/>
        <item x="14"/>
        <item x="29"/>
        <item x="13"/>
        <item x="15"/>
        <item x="2"/>
        <item x="40"/>
        <item x="54"/>
        <item x="32"/>
        <item x="44"/>
        <item x="9"/>
        <item x="50"/>
        <item x="8"/>
        <item x="21"/>
        <item x="46"/>
        <item x="18"/>
        <item x="37"/>
        <item x="31"/>
        <item x="3"/>
        <item x="24"/>
        <item x="60"/>
        <item x="4"/>
        <item x="64"/>
        <item x="53"/>
        <item x="35"/>
        <item x="34"/>
        <item x="22"/>
        <item x="1"/>
        <item x="17"/>
        <item x="11"/>
        <item x="19"/>
        <item x="63"/>
        <item x="23"/>
        <item x="41"/>
        <item x="52"/>
        <item x="51"/>
        <item x="10"/>
        <item x="57"/>
        <item x="27"/>
        <item x="49"/>
        <item x="26"/>
        <item x="16"/>
        <item x="55"/>
        <item x="6"/>
        <item x="5"/>
        <item x="25"/>
        <item x="59"/>
        <item x="47"/>
        <item x="30"/>
        <item t="default"/>
      </items>
    </pivotField>
    <pivotField showAll="0"/>
    <pivotField showAll="0" defaultSubtotal="0"/>
    <pivotField showAll="0" defaultSubtotal="0"/>
    <pivotField showAll="0" defaultSubtotal="0">
      <items count="5">
        <item x="0"/>
        <item x="1"/>
        <item x="2"/>
        <item x="3"/>
        <item x="4"/>
      </items>
    </pivotField>
  </pivotFields>
  <rowFields count="1">
    <field x="2"/>
  </rowFields>
  <rowItems count="6">
    <i>
      <x v="2"/>
    </i>
    <i>
      <x v="1"/>
    </i>
    <i>
      <x v="3"/>
    </i>
    <i>
      <x v="4"/>
    </i>
    <i>
      <x/>
    </i>
    <i t="grand">
      <x/>
    </i>
  </rowItems>
  <colItems count="1">
    <i/>
  </colItems>
  <dataFields count="1">
    <dataField name="Sum of Profit" fld="9" baseField="0" baseItem="0"/>
  </dataFields>
  <chartFormats count="7">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 count="1" selected="0">
            <x v="0"/>
          </reference>
        </references>
      </pivotArea>
    </chartFormat>
    <chartFormat chart="9" format="4">
      <pivotArea type="data" outline="0" fieldPosition="0">
        <references count="2">
          <reference field="4294967294" count="1" selected="0">
            <x v="0"/>
          </reference>
          <reference field="2" count="1" selected="0">
            <x v="4"/>
          </reference>
        </references>
      </pivotArea>
    </chartFormat>
    <chartFormat chart="9" format="5">
      <pivotArea type="data" outline="0" fieldPosition="0">
        <references count="2">
          <reference field="4294967294" count="1" selected="0">
            <x v="0"/>
          </reference>
          <reference field="2" count="1" selected="0">
            <x v="3"/>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 chart="9" format="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3993AD1-9850-4AAB-9FF4-A741ED146E63}"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6">
        <item x="2"/>
        <item x="4"/>
        <item x="0"/>
        <item x="3"/>
        <item x="1"/>
        <item t="default"/>
      </items>
    </pivotField>
    <pivotField showAll="0">
      <items count="6">
        <item x="4"/>
        <item x="3"/>
        <item x="2"/>
        <item x="0"/>
        <item x="1"/>
        <item t="default"/>
      </items>
    </pivotField>
    <pivotField dataField="1" showAll="0">
      <items count="5">
        <item x="3"/>
        <item x="0"/>
        <item x="1"/>
        <item x="2"/>
        <item t="default"/>
      </items>
    </pivotField>
    <pivotField showAll="0"/>
    <pivotField showAll="0"/>
    <pivotField showAll="0"/>
    <pivotField showAll="0">
      <items count="91">
        <item x="53"/>
        <item x="76"/>
        <item x="73"/>
        <item x="61"/>
        <item x="40"/>
        <item x="54"/>
        <item x="86"/>
        <item x="23"/>
        <item x="48"/>
        <item x="15"/>
        <item x="85"/>
        <item x="45"/>
        <item x="89"/>
        <item x="51"/>
        <item x="26"/>
        <item x="56"/>
        <item x="77"/>
        <item x="33"/>
        <item x="43"/>
        <item x="58"/>
        <item x="12"/>
        <item x="7"/>
        <item x="0"/>
        <item x="49"/>
        <item x="14"/>
        <item x="34"/>
        <item x="13"/>
        <item x="2"/>
        <item x="38"/>
        <item x="64"/>
        <item x="16"/>
        <item x="68"/>
        <item x="81"/>
        <item x="36"/>
        <item x="31"/>
        <item x="50"/>
        <item x="9"/>
        <item x="59"/>
        <item x="71"/>
        <item x="80"/>
        <item x="55"/>
        <item x="24"/>
        <item x="47"/>
        <item x="3"/>
        <item x="72"/>
        <item x="8"/>
        <item x="20"/>
        <item x="37"/>
        <item x="28"/>
        <item x="4"/>
        <item x="82"/>
        <item x="67"/>
        <item x="63"/>
        <item x="57"/>
        <item x="17"/>
        <item x="88"/>
        <item x="41"/>
        <item x="19"/>
        <item x="21"/>
        <item x="83"/>
        <item x="42"/>
        <item x="1"/>
        <item x="22"/>
        <item x="52"/>
        <item x="74"/>
        <item x="25"/>
        <item x="11"/>
        <item x="27"/>
        <item x="10"/>
        <item x="62"/>
        <item x="87"/>
        <item x="65"/>
        <item x="70"/>
        <item x="79"/>
        <item x="46"/>
        <item x="66"/>
        <item x="32"/>
        <item x="69"/>
        <item x="5"/>
        <item x="44"/>
        <item x="75"/>
        <item x="18"/>
        <item x="39"/>
        <item x="78"/>
        <item x="60"/>
        <item x="30"/>
        <item x="6"/>
        <item x="29"/>
        <item x="84"/>
        <item x="35"/>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Units Sold" fld="3" baseField="0" baseItem="0" numFmtId="2"/>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ECB810B-569A-4126-B403-42BEAB52ABA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B33" firstHeaderRow="1" firstDataRow="1" firstDataCol="1"/>
  <pivotFields count="14">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6">
        <item x="2"/>
        <item x="4"/>
        <item x="0"/>
        <item x="3"/>
        <item x="1"/>
        <item t="default"/>
      </items>
    </pivotField>
    <pivotField showAll="0">
      <items count="6">
        <item x="4"/>
        <item x="3"/>
        <item x="2"/>
        <item x="0"/>
        <item x="1"/>
        <item t="default"/>
      </items>
    </pivotField>
    <pivotField dataField="1" showAll="0">
      <items count="5">
        <item x="3"/>
        <item x="0"/>
        <item x="1"/>
        <item x="2"/>
        <item t="default"/>
      </items>
    </pivotField>
    <pivotField showAll="0">
      <items count="6">
        <item x="0"/>
        <item x="4"/>
        <item x="3"/>
        <item x="1"/>
        <item x="2"/>
        <item t="default"/>
      </items>
    </pivotField>
    <pivotField showAll="0">
      <items count="6">
        <item x="3"/>
        <item x="2"/>
        <item x="0"/>
        <item x="1"/>
        <item x="4"/>
        <item t="default"/>
      </items>
    </pivotField>
    <pivotField showAll="0">
      <items count="26">
        <item x="18"/>
        <item x="10"/>
        <item x="0"/>
        <item x="17"/>
        <item x="20"/>
        <item x="12"/>
        <item x="24"/>
        <item x="15"/>
        <item x="19"/>
        <item x="11"/>
        <item x="22"/>
        <item x="8"/>
        <item x="13"/>
        <item x="4"/>
        <item x="16"/>
        <item x="21"/>
        <item x="1"/>
        <item x="14"/>
        <item x="2"/>
        <item x="23"/>
        <item x="7"/>
        <item x="6"/>
        <item x="5"/>
        <item x="9"/>
        <item x="3"/>
        <item t="default"/>
      </items>
    </pivotField>
    <pivotField showAll="0">
      <items count="91">
        <item x="53"/>
        <item x="76"/>
        <item x="73"/>
        <item x="61"/>
        <item x="40"/>
        <item x="54"/>
        <item x="86"/>
        <item x="23"/>
        <item x="48"/>
        <item x="15"/>
        <item x="85"/>
        <item x="45"/>
        <item x="89"/>
        <item x="51"/>
        <item x="26"/>
        <item x="56"/>
        <item x="77"/>
        <item x="33"/>
        <item x="43"/>
        <item x="58"/>
        <item x="12"/>
        <item x="7"/>
        <item x="0"/>
        <item x="49"/>
        <item x="14"/>
        <item x="34"/>
        <item x="13"/>
        <item x="2"/>
        <item x="38"/>
        <item x="64"/>
        <item x="16"/>
        <item x="68"/>
        <item x="81"/>
        <item x="36"/>
        <item x="31"/>
        <item x="50"/>
        <item x="9"/>
        <item x="59"/>
        <item x="71"/>
        <item x="80"/>
        <item x="55"/>
        <item x="24"/>
        <item x="47"/>
        <item x="3"/>
        <item x="72"/>
        <item x="8"/>
        <item x="20"/>
        <item x="37"/>
        <item x="28"/>
        <item x="4"/>
        <item x="82"/>
        <item x="67"/>
        <item x="63"/>
        <item x="57"/>
        <item x="17"/>
        <item x="88"/>
        <item x="41"/>
        <item x="19"/>
        <item x="21"/>
        <item x="83"/>
        <item x="42"/>
        <item x="1"/>
        <item x="22"/>
        <item x="52"/>
        <item x="74"/>
        <item x="25"/>
        <item x="11"/>
        <item x="27"/>
        <item x="10"/>
        <item x="62"/>
        <item x="87"/>
        <item x="65"/>
        <item x="70"/>
        <item x="79"/>
        <item x="46"/>
        <item x="66"/>
        <item x="32"/>
        <item x="69"/>
        <item x="5"/>
        <item x="44"/>
        <item x="75"/>
        <item x="18"/>
        <item x="39"/>
        <item x="78"/>
        <item x="60"/>
        <item x="30"/>
        <item x="6"/>
        <item x="29"/>
        <item x="84"/>
        <item x="35"/>
        <item t="default"/>
      </items>
    </pivotField>
    <pivotField showAll="0"/>
    <pivotField showAll="0">
      <items count="67">
        <item x="42"/>
        <item x="58"/>
        <item x="56"/>
        <item x="48"/>
        <item x="33"/>
        <item x="43"/>
        <item x="61"/>
        <item x="62"/>
        <item x="45"/>
        <item x="20"/>
        <item x="12"/>
        <item x="38"/>
        <item x="65"/>
        <item x="7"/>
        <item x="28"/>
        <item x="0"/>
        <item x="36"/>
        <item x="39"/>
        <item x="14"/>
        <item x="29"/>
        <item x="13"/>
        <item x="15"/>
        <item x="2"/>
        <item x="40"/>
        <item x="54"/>
        <item x="32"/>
        <item x="44"/>
        <item x="9"/>
        <item x="50"/>
        <item x="8"/>
        <item x="21"/>
        <item x="46"/>
        <item x="18"/>
        <item x="37"/>
        <item x="31"/>
        <item x="3"/>
        <item x="24"/>
        <item x="60"/>
        <item x="4"/>
        <item x="64"/>
        <item x="53"/>
        <item x="35"/>
        <item x="34"/>
        <item x="22"/>
        <item x="1"/>
        <item x="17"/>
        <item x="11"/>
        <item x="19"/>
        <item x="63"/>
        <item x="23"/>
        <item x="41"/>
        <item x="52"/>
        <item x="51"/>
        <item x="10"/>
        <item x="57"/>
        <item x="27"/>
        <item x="49"/>
        <item x="26"/>
        <item x="16"/>
        <item x="55"/>
        <item x="6"/>
        <item x="5"/>
        <item x="25"/>
        <item x="59"/>
        <item x="47"/>
        <item x="30"/>
        <item t="default"/>
      </items>
    </pivotField>
    <pivotField showAll="0">
      <items count="13">
        <item x="0"/>
        <item x="1"/>
        <item x="2"/>
        <item x="3"/>
        <item x="4"/>
        <item x="5"/>
        <item x="6"/>
        <item x="7"/>
        <item x="8"/>
        <item x="9"/>
        <item x="10"/>
        <item x="11"/>
        <item t="default"/>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Units Sold" fld="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 count="1" selected="0">
            <x v="0"/>
          </reference>
        </references>
      </pivotArea>
    </chartFormat>
    <chartFormat chart="8" format="14">
      <pivotArea type="data" outline="0" fieldPosition="0">
        <references count="2">
          <reference field="4294967294" count="1" selected="0">
            <x v="0"/>
          </reference>
          <reference field="1" count="1" selected="0">
            <x v="1"/>
          </reference>
        </references>
      </pivotArea>
    </chartFormat>
    <chartFormat chart="8" format="15">
      <pivotArea type="data" outline="0" fieldPosition="0">
        <references count="2">
          <reference field="4294967294" count="1" selected="0">
            <x v="0"/>
          </reference>
          <reference field="1" count="1" selected="0">
            <x v="2"/>
          </reference>
        </references>
      </pivotArea>
    </chartFormat>
    <chartFormat chart="8" format="16">
      <pivotArea type="data" outline="0" fieldPosition="0">
        <references count="2">
          <reference field="4294967294" count="1" selected="0">
            <x v="0"/>
          </reference>
          <reference field="1" count="1" selected="0">
            <x v="3"/>
          </reference>
        </references>
      </pivotArea>
    </chartFormat>
    <chartFormat chart="8"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DAD325-B47A-48EF-80BA-2B032804D797}" autoFormatId="16" applyNumberFormats="0" applyBorderFormats="0" applyFontFormats="0" applyPatternFormats="0" applyAlignmentFormats="0" applyWidthHeightFormats="0">
  <queryTableRefresh nextId="12">
    <queryTableFields count="11">
      <queryTableField id="1" name="Date" tableColumnId="1"/>
      <queryTableField id="2" name="Model" tableColumnId="2"/>
      <queryTableField id="3" name="Region" tableColumnId="3"/>
      <queryTableField id="4" name="Units Sold" tableColumnId="4"/>
      <queryTableField id="5" name="Price" tableColumnId="5"/>
      <queryTableField id="6" name="Discount %" tableColumnId="6"/>
      <queryTableField id="7" name="GST" tableColumnId="7"/>
      <queryTableField id="8" name="Revenue" tableColumnId="8"/>
      <queryTableField id="9" name="Cost" tableColumnId="9"/>
      <queryTableField id="10" name="Profit" tableColumnId="10"/>
      <queryTableField id="11" name="Month Na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41D994F2-A9D9-4780-A8F0-5454373A6CBD}" sourceName="Model">
  <pivotTables>
    <pivotTable tabId="5" name="PivotTable6"/>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25"/>
    <pivotTable tabId="5" name="PivotTable26"/>
    <pivotTable tabId="5" name="PivotTable27"/>
    <pivotTable tabId="5" name="PivotTable28"/>
    <pivotTable tabId="5" name="PivotTable7"/>
    <pivotTable tabId="5" name="PivotTable8"/>
    <pivotTable tabId="5" name="PivotTable9"/>
  </pivotTables>
  <data>
    <tabular pivotCacheId="188652427">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91D456-7423-4E89-8ABF-BB56500F3720}" sourceName="Region">
  <pivotTables>
    <pivotTable tabId="5" name="PivotTable11"/>
    <pivotTable tabId="5" name="PivotTable10"/>
    <pivotTable tabId="5" name="PivotTable12"/>
    <pivotTable tabId="5" name="PivotTable13"/>
    <pivotTable tabId="5" name="PivotTable14"/>
    <pivotTable tabId="5" name="PivotTable15"/>
    <pivotTable tabId="5" name="PivotTable16"/>
    <pivotTable tabId="5" name="PivotTable17"/>
    <pivotTable tabId="5" name="PivotTable18"/>
    <pivotTable tabId="5" name="PivotTable25"/>
    <pivotTable tabId="5" name="PivotTable26"/>
    <pivotTable tabId="5" name="PivotTable27"/>
    <pivotTable tabId="5" name="PivotTable28"/>
    <pivotTable tabId="5" name="PivotTable29"/>
    <pivotTable tabId="5" name="PivotTable6"/>
    <pivotTable tabId="5" name="PivotTable7"/>
    <pivotTable tabId="5" name="PivotTable8"/>
    <pivotTable tabId="5" name="PivotTable9"/>
  </pivotTables>
  <data>
    <tabular pivotCacheId="188652427">
      <items count="5">
        <i x="4"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 xr10:uid="{4E761FAA-DD99-4623-B1ED-B104E0759A64}" sourceName="Units Sold">
  <pivotTables>
    <pivotTable tabId="5" name="PivotTable11"/>
    <pivotTable tabId="5" name="PivotTable10"/>
    <pivotTable tabId="5" name="PivotTable12"/>
    <pivotTable tabId="5" name="PivotTable13"/>
    <pivotTable tabId="5" name="PivotTable14"/>
    <pivotTable tabId="5" name="PivotTable15"/>
    <pivotTable tabId="5" name="PivotTable16"/>
    <pivotTable tabId="5" name="PivotTable17"/>
    <pivotTable tabId="5" name="PivotTable18"/>
    <pivotTable tabId="5" name="PivotTable25"/>
    <pivotTable tabId="5" name="PivotTable26"/>
    <pivotTable tabId="5" name="PivotTable27"/>
    <pivotTable tabId="5" name="PivotTable28"/>
    <pivotTable tabId="5" name="PivotTable29"/>
    <pivotTable tabId="5" name="PivotTable6"/>
    <pivotTable tabId="5" name="PivotTable7"/>
    <pivotTable tabId="5" name="PivotTable8"/>
    <pivotTable tabId="5" name="PivotTable9"/>
  </pivotTables>
  <data>
    <tabular pivotCacheId="188652427">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 xr10:uid="{AFDFE977-5ABC-4883-8D5C-62327C813DEC}" sourceName="Cost">
  <pivotTables>
    <pivotTable tabId="5" name="PivotTable11"/>
  </pivotTables>
  <data>
    <tabular pivotCacheId="188652427">
      <items count="18">
        <i x="16" s="1"/>
        <i x="9" s="1"/>
        <i x="14" s="1"/>
        <i x="15" s="1"/>
        <i x="0" s="1"/>
        <i x="2" s="1"/>
        <i x="10" s="1"/>
        <i x="7" s="1"/>
        <i x="3" s="1"/>
        <i x="4" s="1"/>
        <i x="11" s="1"/>
        <i x="13" s="1"/>
        <i x="1" s="1"/>
        <i x="8" s="1"/>
        <i x="17" s="1"/>
        <i x="5" s="1"/>
        <i x="12"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FCEA7E4-3548-458F-B996-57682D1236CF}" sourceName="Years (Date)">
  <pivotTables>
    <pivotTable tabId="5" name="PivotTable10"/>
    <pivotTable tabId="5" name="PivotTable11"/>
    <pivotTable tabId="5" name="PivotTable12"/>
    <pivotTable tabId="5" name="PivotTable13"/>
    <pivotTable tabId="5" name="PivotTable14"/>
    <pivotTable tabId="5" name="PivotTable15"/>
    <pivotTable tabId="5" name="PivotTable16"/>
    <pivotTable tabId="5" name="PivotTable17"/>
    <pivotTable tabId="5" name="PivotTable18"/>
    <pivotTable tabId="5" name="PivotTable25"/>
    <pivotTable tabId="5" name="PivotTable26"/>
    <pivotTable tabId="5" name="PivotTable27"/>
    <pivotTable tabId="5" name="PivotTable28"/>
    <pivotTable tabId="5" name="PivotTable29"/>
    <pivotTable tabId="5" name="PivotTable6"/>
    <pivotTable tabId="5" name="PivotTable7"/>
    <pivotTable tabId="5" name="PivotTable8"/>
    <pivotTable tabId="5" name="PivotTable9"/>
  </pivotTables>
  <data>
    <tabular pivotCacheId="188652427">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3C135766-E018-4632-B899-0147F3314C42}" cache="Slicer_Model" caption="Model" style="SlicerStyleLight4" rowHeight="234950"/>
  <slicer name="Region" xr10:uid="{8A1C00C2-9412-4B48-A8C0-A54C71D78C2A}" cache="Slicer_Region" caption="Region" style="SlicerStyleLight4" rowHeight="234950"/>
  <slicer name="Units Sold" xr10:uid="{8E8824A1-A4CB-483F-AABD-CE6ACBFC3FC0}" cache="Slicer_Units_Sold" caption="Units Sold" style="SlicerStyleLight4" rowHeight="234950"/>
  <slicer name="Cost" xr10:uid="{FBEFC539-EE0D-45EC-AE19-2D4679752845}" cache="Slicer_Cost" caption="Cost" style="SlicerStyleLight4" rowHeight="234950"/>
  <slicer name="Years (Date)" xr10:uid="{E6B266B5-1D03-41D9-A3F6-1E408C038EAE}" cache="Slicer_Years__Date" caption="Yea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BA024E7E-C0E9-410C-B14B-F8EAA919E3B3}" cache="Slicer_Model" caption="Model" style="SlicerStyleLight4" rowHeight="234950"/>
  <slicer name="Region 1" xr10:uid="{C8680C67-007D-442C-9A29-FF203B0B9A9A}" cache="Slicer_Region" caption="Region" style="SlicerStyleOther1" rowHeight="234950"/>
  <slicer name="Units Sold 1" xr10:uid="{2AC6808B-44E9-438E-BC99-6FC2D3F1BC67}" cache="Slicer_Units_Sold" caption="Units Sold" style="SlicerStyleOther1" rowHeight="234950"/>
  <slicer name="Years (Date) 1" xr10:uid="{6063C948-B818-4750-BCAC-52FEE679BE23}" cache="Slicer_Years__Date" caption="Years (Date)"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15651A-7FE5-47E0-A2F2-250EC704FB40}" name="Porsche_Sales" displayName="Porsche_Sales" ref="A1:K1001" tableType="queryTable" totalsRowShown="0" dataDxfId="85">
  <autoFilter ref="A1:K1001" xr:uid="{AB15651A-7FE5-47E0-A2F2-250EC704FB40}"/>
  <tableColumns count="11">
    <tableColumn id="1" xr3:uid="{40F954B2-D338-4660-B4B4-178652AE60B5}" uniqueName="1" name="Date" queryTableFieldId="1" dataDxfId="84"/>
    <tableColumn id="2" xr3:uid="{BC51D1FD-DEEA-4B4A-BA25-584E198D1346}" uniqueName="2" name="Model" queryTableFieldId="2" dataDxfId="83"/>
    <tableColumn id="3" xr3:uid="{8DE5AC8E-C84F-4FE9-996D-C10FAC70AB85}" uniqueName="3" name="Region" queryTableFieldId="3" dataDxfId="82"/>
    <tableColumn id="4" xr3:uid="{11ACD61A-31F0-4C30-BDD2-985F7D32055C}" uniqueName="4" name="Units Sold" queryTableFieldId="4" dataDxfId="81"/>
    <tableColumn id="5" xr3:uid="{CA77EA6F-6D53-444D-B71F-ACFF45E6EE2A}" uniqueName="5" name="Price" queryTableFieldId="5" dataDxfId="80"/>
    <tableColumn id="6" xr3:uid="{B47EBA54-436D-4A1E-81E6-3B5F11822B59}" uniqueName="6" name="Discount %" queryTableFieldId="6" dataDxfId="79"/>
    <tableColumn id="7" xr3:uid="{6B802BEB-8E80-45A5-A08A-2F1C53BA9C5D}" uniqueName="7" name="GST" queryTableFieldId="7" dataDxfId="78"/>
    <tableColumn id="8" xr3:uid="{72C3286E-7C43-4D9D-93C1-2500D66D1AE7}" uniqueName="8" name="Revenue" queryTableFieldId="8" dataDxfId="77"/>
    <tableColumn id="9" xr3:uid="{C98591E2-D13B-43EF-8894-3FB60ECF86F0}" uniqueName="9" name="Cost" queryTableFieldId="9" dataDxfId="76"/>
    <tableColumn id="10" xr3:uid="{C0F5DD22-CE0E-442C-95BA-535F35371583}" uniqueName="10" name="Profit" queryTableFieldId="10" dataDxfId="75"/>
    <tableColumn id="11" xr3:uid="{93A80E1B-438A-4754-BF26-8AA020FE43A7}" uniqueName="11" name="Month Name" queryTableFieldId="11" dataDxfId="7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B4804-920C-4B0B-8383-BA72ED5E0DF7}">
  <dimension ref="A2:H134"/>
  <sheetViews>
    <sheetView showGridLines="0" topLeftCell="A16" workbookViewId="0">
      <selection activeCell="L22" sqref="L22"/>
    </sheetView>
    <sheetView zoomScaleNormal="100" workbookViewId="1">
      <selection activeCell="I8" sqref="I8"/>
    </sheetView>
  </sheetViews>
  <sheetFormatPr defaultRowHeight="14.4" x14ac:dyDescent="0.3"/>
  <cols>
    <col min="1" max="1" width="12.5546875" bestFit="1" customWidth="1"/>
    <col min="2" max="2" width="16" bestFit="1" customWidth="1"/>
    <col min="3" max="6" width="11" bestFit="1" customWidth="1"/>
    <col min="7" max="7" width="20" bestFit="1" customWidth="1"/>
    <col min="8" max="8" width="13.109375" bestFit="1" customWidth="1"/>
  </cols>
  <sheetData>
    <row r="2" spans="1:8" x14ac:dyDescent="0.3">
      <c r="G2" t="s">
        <v>54</v>
      </c>
      <c r="H2" t="s">
        <v>53</v>
      </c>
    </row>
    <row r="3" spans="1:8" x14ac:dyDescent="0.3">
      <c r="A3" s="1" t="s">
        <v>20</v>
      </c>
      <c r="B3" t="s">
        <v>22</v>
      </c>
      <c r="G3" s="3">
        <v>6117550000</v>
      </c>
      <c r="H3" s="3">
        <v>36761550000</v>
      </c>
    </row>
    <row r="4" spans="1:8" x14ac:dyDescent="0.3">
      <c r="A4" s="2" t="s">
        <v>15</v>
      </c>
      <c r="B4" s="9">
        <v>8852760000</v>
      </c>
    </row>
    <row r="5" spans="1:8" x14ac:dyDescent="0.3">
      <c r="A5" s="2" t="s">
        <v>19</v>
      </c>
      <c r="B5" s="9">
        <v>7878750000</v>
      </c>
      <c r="G5" t="s">
        <v>24</v>
      </c>
    </row>
    <row r="6" spans="1:8" x14ac:dyDescent="0.3">
      <c r="A6" s="2" t="s">
        <v>10</v>
      </c>
      <c r="B6" s="9">
        <v>3687570000</v>
      </c>
      <c r="G6" s="4">
        <v>2520</v>
      </c>
    </row>
    <row r="7" spans="1:8" x14ac:dyDescent="0.3">
      <c r="A7" s="2" t="s">
        <v>16</v>
      </c>
      <c r="B7" s="9">
        <v>8271040000</v>
      </c>
    </row>
    <row r="8" spans="1:8" x14ac:dyDescent="0.3">
      <c r="A8" s="2" t="s">
        <v>12</v>
      </c>
      <c r="B8" s="9">
        <v>8071430000</v>
      </c>
      <c r="G8" t="s">
        <v>49</v>
      </c>
    </row>
    <row r="9" spans="1:8" x14ac:dyDescent="0.3">
      <c r="A9" s="2" t="s">
        <v>21</v>
      </c>
      <c r="B9" s="9">
        <v>36761550000</v>
      </c>
      <c r="G9" s="4">
        <v>4.0259999999999998</v>
      </c>
    </row>
    <row r="11" spans="1:8" x14ac:dyDescent="0.3">
      <c r="A11" s="1" t="s">
        <v>20</v>
      </c>
      <c r="B11" t="s">
        <v>23</v>
      </c>
    </row>
    <row r="12" spans="1:8" x14ac:dyDescent="0.3">
      <c r="A12" s="2" t="s">
        <v>15</v>
      </c>
      <c r="B12" s="9">
        <v>1465560000</v>
      </c>
    </row>
    <row r="13" spans="1:8" x14ac:dyDescent="0.3">
      <c r="A13" s="2" t="s">
        <v>19</v>
      </c>
      <c r="B13" s="9">
        <v>1314750000</v>
      </c>
    </row>
    <row r="14" spans="1:8" x14ac:dyDescent="0.3">
      <c r="A14" s="2" t="s">
        <v>10</v>
      </c>
      <c r="B14" s="9">
        <v>613170000</v>
      </c>
    </row>
    <row r="15" spans="1:8" x14ac:dyDescent="0.3">
      <c r="A15" s="2" t="s">
        <v>16</v>
      </c>
      <c r="B15" s="9">
        <v>1384640000</v>
      </c>
    </row>
    <row r="16" spans="1:8" x14ac:dyDescent="0.3">
      <c r="A16" s="2" t="s">
        <v>12</v>
      </c>
      <c r="B16" s="9">
        <v>1339430000</v>
      </c>
    </row>
    <row r="17" spans="1:2" x14ac:dyDescent="0.3">
      <c r="A17" s="2" t="s">
        <v>21</v>
      </c>
      <c r="B17" s="9">
        <v>6117550000</v>
      </c>
    </row>
    <row r="19" spans="1:2" x14ac:dyDescent="0.3">
      <c r="A19" s="1" t="s">
        <v>20</v>
      </c>
      <c r="B19" t="s">
        <v>22</v>
      </c>
    </row>
    <row r="20" spans="1:2" x14ac:dyDescent="0.3">
      <c r="A20" s="2" t="s">
        <v>18</v>
      </c>
      <c r="B20" s="9">
        <v>6945100000</v>
      </c>
    </row>
    <row r="21" spans="1:2" x14ac:dyDescent="0.3">
      <c r="A21" s="2" t="s">
        <v>17</v>
      </c>
      <c r="B21" s="9">
        <v>7339970000</v>
      </c>
    </row>
    <row r="22" spans="1:2" x14ac:dyDescent="0.3">
      <c r="A22" s="2" t="s">
        <v>14</v>
      </c>
      <c r="B22" s="9">
        <v>8013750000</v>
      </c>
    </row>
    <row r="23" spans="1:2" x14ac:dyDescent="0.3">
      <c r="A23" s="2" t="s">
        <v>11</v>
      </c>
      <c r="B23" s="9">
        <v>7271910000</v>
      </c>
    </row>
    <row r="24" spans="1:2" x14ac:dyDescent="0.3">
      <c r="A24" s="2" t="s">
        <v>13</v>
      </c>
      <c r="B24" s="9">
        <v>7190820000</v>
      </c>
    </row>
    <row r="25" spans="1:2" x14ac:dyDescent="0.3">
      <c r="A25" s="2" t="s">
        <v>21</v>
      </c>
      <c r="B25" s="9">
        <v>36761550000</v>
      </c>
    </row>
    <row r="27" spans="1:2" x14ac:dyDescent="0.3">
      <c r="A27" s="1" t="s">
        <v>20</v>
      </c>
      <c r="B27" t="s">
        <v>24</v>
      </c>
    </row>
    <row r="28" spans="1:2" x14ac:dyDescent="0.3">
      <c r="A28" s="2" t="s">
        <v>15</v>
      </c>
      <c r="B28" s="9">
        <v>513</v>
      </c>
    </row>
    <row r="29" spans="1:2" x14ac:dyDescent="0.3">
      <c r="A29" s="2" t="s">
        <v>19</v>
      </c>
      <c r="B29" s="9">
        <v>547</v>
      </c>
    </row>
    <row r="30" spans="1:2" x14ac:dyDescent="0.3">
      <c r="A30" s="2" t="s">
        <v>10</v>
      </c>
      <c r="B30" s="9">
        <v>427</v>
      </c>
    </row>
    <row r="31" spans="1:2" x14ac:dyDescent="0.3">
      <c r="A31" s="2" t="s">
        <v>16</v>
      </c>
      <c r="B31" s="9">
        <v>538</v>
      </c>
    </row>
    <row r="32" spans="1:2" x14ac:dyDescent="0.3">
      <c r="A32" s="2" t="s">
        <v>12</v>
      </c>
      <c r="B32" s="9">
        <v>495</v>
      </c>
    </row>
    <row r="33" spans="1:2" x14ac:dyDescent="0.3">
      <c r="A33" s="2" t="s">
        <v>21</v>
      </c>
      <c r="B33" s="9">
        <v>2520</v>
      </c>
    </row>
    <row r="35" spans="1:2" x14ac:dyDescent="0.3">
      <c r="A35" s="1" t="s">
        <v>20</v>
      </c>
      <c r="B35" t="s">
        <v>22</v>
      </c>
    </row>
    <row r="36" spans="1:2" x14ac:dyDescent="0.3">
      <c r="A36" s="2" t="s">
        <v>38</v>
      </c>
      <c r="B36" s="9">
        <v>3166800000</v>
      </c>
    </row>
    <row r="37" spans="1:2" x14ac:dyDescent="0.3">
      <c r="A37" s="2" t="s">
        <v>39</v>
      </c>
      <c r="B37" s="9">
        <v>3438080000</v>
      </c>
    </row>
    <row r="38" spans="1:2" x14ac:dyDescent="0.3">
      <c r="A38" s="2" t="s">
        <v>40</v>
      </c>
      <c r="B38" s="9">
        <v>3597160000</v>
      </c>
    </row>
    <row r="39" spans="1:2" x14ac:dyDescent="0.3">
      <c r="A39" s="2" t="s">
        <v>41</v>
      </c>
      <c r="B39" s="9">
        <v>3162580000</v>
      </c>
    </row>
    <row r="40" spans="1:2" x14ac:dyDescent="0.3">
      <c r="A40" s="2" t="s">
        <v>30</v>
      </c>
      <c r="B40" s="9">
        <v>3538640000</v>
      </c>
    </row>
    <row r="41" spans="1:2" x14ac:dyDescent="0.3">
      <c r="A41" s="2" t="s">
        <v>42</v>
      </c>
      <c r="B41" s="9">
        <v>3533480000</v>
      </c>
    </row>
    <row r="42" spans="1:2" x14ac:dyDescent="0.3">
      <c r="A42" s="2" t="s">
        <v>43</v>
      </c>
      <c r="B42" s="9">
        <v>3336070000</v>
      </c>
    </row>
    <row r="43" spans="1:2" x14ac:dyDescent="0.3">
      <c r="A43" s="2" t="s">
        <v>44</v>
      </c>
      <c r="B43" s="9">
        <v>3203200000</v>
      </c>
    </row>
    <row r="44" spans="1:2" x14ac:dyDescent="0.3">
      <c r="A44" s="2" t="s">
        <v>45</v>
      </c>
      <c r="B44" s="9">
        <v>3254050000</v>
      </c>
    </row>
    <row r="45" spans="1:2" x14ac:dyDescent="0.3">
      <c r="A45" s="2" t="s">
        <v>46</v>
      </c>
      <c r="B45" s="9">
        <v>2231950000</v>
      </c>
    </row>
    <row r="46" spans="1:2" x14ac:dyDescent="0.3">
      <c r="A46" s="2" t="s">
        <v>47</v>
      </c>
      <c r="B46" s="9">
        <v>2218010000</v>
      </c>
    </row>
    <row r="47" spans="1:2" x14ac:dyDescent="0.3">
      <c r="A47" s="2" t="s">
        <v>48</v>
      </c>
      <c r="B47" s="9">
        <v>2081530000</v>
      </c>
    </row>
    <row r="48" spans="1:2" x14ac:dyDescent="0.3">
      <c r="A48" s="2" t="s">
        <v>21</v>
      </c>
      <c r="B48" s="9">
        <v>36761550000</v>
      </c>
    </row>
    <row r="50" spans="1:2" x14ac:dyDescent="0.3">
      <c r="A50" s="1" t="s">
        <v>20</v>
      </c>
      <c r="B50" t="s">
        <v>23</v>
      </c>
    </row>
    <row r="51" spans="1:2" x14ac:dyDescent="0.3">
      <c r="A51" s="2" t="s">
        <v>14</v>
      </c>
      <c r="B51" s="9">
        <v>1336950000</v>
      </c>
    </row>
    <row r="52" spans="1:2" x14ac:dyDescent="0.3">
      <c r="A52" s="2" t="s">
        <v>17</v>
      </c>
      <c r="B52" s="9">
        <v>1216770000</v>
      </c>
    </row>
    <row r="53" spans="1:2" x14ac:dyDescent="0.3">
      <c r="A53" s="2" t="s">
        <v>11</v>
      </c>
      <c r="B53" s="9">
        <v>1206310000</v>
      </c>
    </row>
    <row r="54" spans="1:2" x14ac:dyDescent="0.3">
      <c r="A54" s="2" t="s">
        <v>13</v>
      </c>
      <c r="B54" s="9">
        <v>1192420000</v>
      </c>
    </row>
    <row r="55" spans="1:2" x14ac:dyDescent="0.3">
      <c r="A55" s="2" t="s">
        <v>18</v>
      </c>
      <c r="B55" s="9">
        <v>1165100000</v>
      </c>
    </row>
    <row r="56" spans="1:2" x14ac:dyDescent="0.3">
      <c r="A56" s="2" t="s">
        <v>21</v>
      </c>
      <c r="B56" s="9">
        <v>6117550000</v>
      </c>
    </row>
    <row r="58" spans="1:2" x14ac:dyDescent="0.3">
      <c r="A58" s="1" t="s">
        <v>20</v>
      </c>
      <c r="B58" t="s">
        <v>49</v>
      </c>
    </row>
    <row r="59" spans="1:2" x14ac:dyDescent="0.3">
      <c r="A59" s="2" t="s">
        <v>15</v>
      </c>
      <c r="B59" s="9">
        <v>4.1170731707317074</v>
      </c>
    </row>
    <row r="60" spans="1:2" x14ac:dyDescent="0.3">
      <c r="A60" s="2" t="s">
        <v>19</v>
      </c>
      <c r="B60" s="9">
        <v>4.009615384615385</v>
      </c>
    </row>
    <row r="61" spans="1:2" x14ac:dyDescent="0.3">
      <c r="A61" s="2" t="s">
        <v>10</v>
      </c>
      <c r="B61" s="9">
        <v>4.0977011494252871</v>
      </c>
    </row>
    <row r="62" spans="1:2" x14ac:dyDescent="0.3">
      <c r="A62" s="2" t="s">
        <v>16</v>
      </c>
      <c r="B62" s="9">
        <v>3.9150943396226414</v>
      </c>
    </row>
    <row r="63" spans="1:2" x14ac:dyDescent="0.3">
      <c r="A63" s="2" t="s">
        <v>12</v>
      </c>
      <c r="B63" s="9">
        <v>4.0049751243781095</v>
      </c>
    </row>
    <row r="64" spans="1:2" x14ac:dyDescent="0.3">
      <c r="A64" s="2" t="s">
        <v>21</v>
      </c>
      <c r="B64" s="9">
        <v>4.0259999999999998</v>
      </c>
    </row>
    <row r="66" spans="1:3" x14ac:dyDescent="0.3">
      <c r="A66" s="1" t="s">
        <v>20</v>
      </c>
      <c r="B66" t="s">
        <v>50</v>
      </c>
    </row>
    <row r="67" spans="1:3" x14ac:dyDescent="0.3">
      <c r="A67" s="2" t="s">
        <v>15</v>
      </c>
      <c r="B67" s="9">
        <v>636854400</v>
      </c>
    </row>
    <row r="68" spans="1:3" x14ac:dyDescent="0.3">
      <c r="A68" s="2" t="s">
        <v>19</v>
      </c>
      <c r="B68" s="9">
        <v>539082000</v>
      </c>
    </row>
    <row r="69" spans="1:3" x14ac:dyDescent="0.3">
      <c r="A69" s="2" t="s">
        <v>10</v>
      </c>
      <c r="B69" s="9">
        <v>270329400</v>
      </c>
    </row>
    <row r="70" spans="1:3" x14ac:dyDescent="0.3">
      <c r="A70" s="2" t="s">
        <v>16</v>
      </c>
      <c r="B70" s="9">
        <v>586656000</v>
      </c>
    </row>
    <row r="71" spans="1:3" x14ac:dyDescent="0.3">
      <c r="A71" s="2" t="s">
        <v>12</v>
      </c>
      <c r="B71" s="9">
        <v>590427000</v>
      </c>
    </row>
    <row r="72" spans="1:3" x14ac:dyDescent="0.3">
      <c r="A72" s="2" t="s">
        <v>21</v>
      </c>
      <c r="B72" s="9">
        <v>2623348800</v>
      </c>
    </row>
    <row r="74" spans="1:3" x14ac:dyDescent="0.3">
      <c r="A74" s="1" t="s">
        <v>20</v>
      </c>
      <c r="B74" t="s">
        <v>22</v>
      </c>
      <c r="C74" t="s">
        <v>23</v>
      </c>
    </row>
    <row r="75" spans="1:3" x14ac:dyDescent="0.3">
      <c r="A75" s="2" t="s">
        <v>15</v>
      </c>
      <c r="B75" s="9">
        <v>8852760000</v>
      </c>
      <c r="C75" s="9">
        <v>1465560000</v>
      </c>
    </row>
    <row r="76" spans="1:3" x14ac:dyDescent="0.3">
      <c r="A76" s="2" t="s">
        <v>19</v>
      </c>
      <c r="B76" s="9">
        <v>7878750000</v>
      </c>
      <c r="C76" s="9">
        <v>1314750000</v>
      </c>
    </row>
    <row r="77" spans="1:3" x14ac:dyDescent="0.3">
      <c r="A77" s="2" t="s">
        <v>10</v>
      </c>
      <c r="B77" s="9">
        <v>3687570000</v>
      </c>
      <c r="C77" s="9">
        <v>613170000</v>
      </c>
    </row>
    <row r="78" spans="1:3" x14ac:dyDescent="0.3">
      <c r="A78" s="2" t="s">
        <v>16</v>
      </c>
      <c r="B78" s="9">
        <v>8271040000</v>
      </c>
      <c r="C78" s="9">
        <v>1384640000</v>
      </c>
    </row>
    <row r="79" spans="1:3" x14ac:dyDescent="0.3">
      <c r="A79" s="2" t="s">
        <v>12</v>
      </c>
      <c r="B79" s="9">
        <v>8071430000</v>
      </c>
      <c r="C79" s="9">
        <v>1339430000</v>
      </c>
    </row>
    <row r="80" spans="1:3" x14ac:dyDescent="0.3">
      <c r="A80" s="2" t="s">
        <v>21</v>
      </c>
      <c r="B80" s="9">
        <v>36761550000</v>
      </c>
      <c r="C80" s="9">
        <v>6117550000</v>
      </c>
    </row>
    <row r="82" spans="1:7" x14ac:dyDescent="0.3">
      <c r="A82" s="1" t="s">
        <v>22</v>
      </c>
      <c r="B82" s="1" t="s">
        <v>51</v>
      </c>
    </row>
    <row r="83" spans="1:7" x14ac:dyDescent="0.3">
      <c r="A83" s="1" t="s">
        <v>20</v>
      </c>
      <c r="B83" t="s">
        <v>18</v>
      </c>
      <c r="C83" t="s">
        <v>17</v>
      </c>
      <c r="D83" t="s">
        <v>14</v>
      </c>
      <c r="E83" t="s">
        <v>11</v>
      </c>
      <c r="F83" t="s">
        <v>13</v>
      </c>
      <c r="G83" t="s">
        <v>21</v>
      </c>
    </row>
    <row r="84" spans="1:7" x14ac:dyDescent="0.3">
      <c r="A84" s="2" t="s">
        <v>15</v>
      </c>
      <c r="B84" s="9">
        <v>1536480000</v>
      </c>
      <c r="C84" s="9">
        <v>1775340000</v>
      </c>
      <c r="D84" s="9">
        <v>1722240000</v>
      </c>
      <c r="E84" s="9">
        <v>1920240000</v>
      </c>
      <c r="F84" s="9">
        <v>1898460000</v>
      </c>
      <c r="G84" s="9">
        <v>8852760000</v>
      </c>
    </row>
    <row r="85" spans="1:7" x14ac:dyDescent="0.3">
      <c r="A85" s="2" t="s">
        <v>19</v>
      </c>
      <c r="B85" s="9">
        <v>1675500000</v>
      </c>
      <c r="C85" s="9">
        <v>1800750000</v>
      </c>
      <c r="D85" s="9">
        <v>1567500000</v>
      </c>
      <c r="E85" s="9">
        <v>1698750000</v>
      </c>
      <c r="F85" s="9">
        <v>1136250000</v>
      </c>
      <c r="G85" s="9">
        <v>7878750000</v>
      </c>
    </row>
    <row r="86" spans="1:7" x14ac:dyDescent="0.3">
      <c r="A86" s="2" t="s">
        <v>10</v>
      </c>
      <c r="B86" s="9">
        <v>503550000</v>
      </c>
      <c r="C86" s="9">
        <v>717210000</v>
      </c>
      <c r="D86" s="9">
        <v>934290000</v>
      </c>
      <c r="E86" s="9">
        <v>886680000</v>
      </c>
      <c r="F86" s="9">
        <v>645840000</v>
      </c>
      <c r="G86" s="9">
        <v>3687570000</v>
      </c>
    </row>
    <row r="87" spans="1:7" x14ac:dyDescent="0.3">
      <c r="A87" s="2" t="s">
        <v>16</v>
      </c>
      <c r="B87" s="9">
        <v>1641600000</v>
      </c>
      <c r="C87" s="9">
        <v>1581440000</v>
      </c>
      <c r="D87" s="9">
        <v>1913600000</v>
      </c>
      <c r="E87" s="9">
        <v>1612960000</v>
      </c>
      <c r="F87" s="9">
        <v>1521440000</v>
      </c>
      <c r="G87" s="9">
        <v>8271040000</v>
      </c>
    </row>
    <row r="88" spans="1:7" x14ac:dyDescent="0.3">
      <c r="A88" s="2" t="s">
        <v>12</v>
      </c>
      <c r="B88" s="9">
        <v>1587970000</v>
      </c>
      <c r="C88" s="9">
        <v>1465230000</v>
      </c>
      <c r="D88" s="9">
        <v>1876120000</v>
      </c>
      <c r="E88" s="9">
        <v>1153280000</v>
      </c>
      <c r="F88" s="9">
        <v>1988830000</v>
      </c>
      <c r="G88" s="9">
        <v>8071430000</v>
      </c>
    </row>
    <row r="89" spans="1:7" x14ac:dyDescent="0.3">
      <c r="A89" s="2" t="s">
        <v>21</v>
      </c>
      <c r="B89" s="9">
        <v>6945100000</v>
      </c>
      <c r="C89" s="9">
        <v>7339970000</v>
      </c>
      <c r="D89" s="9">
        <v>8013750000</v>
      </c>
      <c r="E89" s="9">
        <v>7271910000</v>
      </c>
      <c r="F89" s="9">
        <v>7190820000</v>
      </c>
      <c r="G89" s="9">
        <v>36761550000</v>
      </c>
    </row>
    <row r="91" spans="1:7" x14ac:dyDescent="0.3">
      <c r="A91" s="1" t="s">
        <v>20</v>
      </c>
      <c r="B91" t="s">
        <v>24</v>
      </c>
    </row>
    <row r="92" spans="1:7" x14ac:dyDescent="0.3">
      <c r="A92" s="2" t="s">
        <v>18</v>
      </c>
      <c r="B92" s="9">
        <v>467</v>
      </c>
    </row>
    <row r="93" spans="1:7" x14ac:dyDescent="0.3">
      <c r="A93" s="2" t="s">
        <v>17</v>
      </c>
      <c r="B93" s="9">
        <v>504</v>
      </c>
    </row>
    <row r="94" spans="1:7" x14ac:dyDescent="0.3">
      <c r="A94" s="2" t="s">
        <v>14</v>
      </c>
      <c r="B94" s="9">
        <v>556</v>
      </c>
    </row>
    <row r="95" spans="1:7" x14ac:dyDescent="0.3">
      <c r="A95" s="2" t="s">
        <v>11</v>
      </c>
      <c r="B95" s="9">
        <v>508</v>
      </c>
    </row>
    <row r="96" spans="1:7" x14ac:dyDescent="0.3">
      <c r="A96" s="2" t="s">
        <v>13</v>
      </c>
      <c r="B96" s="9">
        <v>485</v>
      </c>
    </row>
    <row r="97" spans="1:2" x14ac:dyDescent="0.3">
      <c r="A97" s="2" t="s">
        <v>21</v>
      </c>
      <c r="B97" s="9">
        <v>2520</v>
      </c>
    </row>
    <row r="99" spans="1:2" x14ac:dyDescent="0.3">
      <c r="A99" t="s">
        <v>22</v>
      </c>
    </row>
    <row r="100" spans="1:2" x14ac:dyDescent="0.3">
      <c r="A100" s="9">
        <v>36761550000</v>
      </c>
    </row>
    <row r="105" spans="1:2" x14ac:dyDescent="0.3">
      <c r="A105" s="1" t="s">
        <v>20</v>
      </c>
      <c r="B105" t="s">
        <v>23</v>
      </c>
    </row>
    <row r="106" spans="1:2" x14ac:dyDescent="0.3">
      <c r="A106" s="2" t="s">
        <v>15</v>
      </c>
      <c r="B106" s="9">
        <v>1465560000</v>
      </c>
    </row>
    <row r="107" spans="1:2" x14ac:dyDescent="0.3">
      <c r="A107" s="2" t="s">
        <v>16</v>
      </c>
      <c r="B107" s="9">
        <v>1384640000</v>
      </c>
    </row>
    <row r="108" spans="1:2" x14ac:dyDescent="0.3">
      <c r="A108" s="2" t="s">
        <v>12</v>
      </c>
      <c r="B108" s="9">
        <v>1339430000</v>
      </c>
    </row>
    <row r="109" spans="1:2" x14ac:dyDescent="0.3">
      <c r="A109" s="2" t="s">
        <v>19</v>
      </c>
      <c r="B109" s="9">
        <v>1314750000</v>
      </c>
    </row>
    <row r="110" spans="1:2" x14ac:dyDescent="0.3">
      <c r="A110" s="2" t="s">
        <v>10</v>
      </c>
      <c r="B110" s="9">
        <v>613170000</v>
      </c>
    </row>
    <row r="111" spans="1:2" x14ac:dyDescent="0.3">
      <c r="A111" s="2" t="s">
        <v>21</v>
      </c>
      <c r="B111" s="9">
        <v>6117550000</v>
      </c>
    </row>
    <row r="128" spans="1:2" x14ac:dyDescent="0.3">
      <c r="A128" s="1" t="s">
        <v>20</v>
      </c>
      <c r="B128" t="s">
        <v>52</v>
      </c>
    </row>
    <row r="129" spans="1:2" x14ac:dyDescent="0.3">
      <c r="A129" s="2" t="s">
        <v>15</v>
      </c>
      <c r="B129" s="9">
        <v>7387200000</v>
      </c>
    </row>
    <row r="130" spans="1:2" x14ac:dyDescent="0.3">
      <c r="A130" s="2" t="s">
        <v>19</v>
      </c>
      <c r="B130" s="9">
        <v>6564000000</v>
      </c>
    </row>
    <row r="131" spans="1:2" x14ac:dyDescent="0.3">
      <c r="A131" s="2" t="s">
        <v>10</v>
      </c>
      <c r="B131" s="9">
        <v>3074400000</v>
      </c>
    </row>
    <row r="132" spans="1:2" x14ac:dyDescent="0.3">
      <c r="A132" s="2" t="s">
        <v>16</v>
      </c>
      <c r="B132" s="9">
        <v>6886400000</v>
      </c>
    </row>
    <row r="133" spans="1:2" x14ac:dyDescent="0.3">
      <c r="A133" s="2" t="s">
        <v>12</v>
      </c>
      <c r="B133" s="9">
        <v>6732000000</v>
      </c>
    </row>
    <row r="134" spans="1:2" x14ac:dyDescent="0.3">
      <c r="A134" s="2" t="s">
        <v>21</v>
      </c>
      <c r="B134" s="9">
        <v>30644000000</v>
      </c>
    </row>
  </sheetData>
  <pageMargins left="0.7" right="0.7" top="0.75" bottom="0.75" header="0.3" footer="0.3"/>
  <pageSetup orientation="portrait" r:id="rId19"/>
  <drawing r:id="rId20"/>
  <extLst>
    <ext xmlns:x14="http://schemas.microsoft.com/office/spreadsheetml/2009/9/main" uri="{A8765BA9-456A-4dab-B4F3-ACF838C121DE}">
      <x14:slicerList>
        <x14:slicer r:id="rId2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3DF35-0F9A-47B8-8C8D-E839323EFCF9}">
  <dimension ref="H6:R11"/>
  <sheetViews>
    <sheetView showGridLines="0" tabSelected="1" zoomScale="60" zoomScaleNormal="60" workbookViewId="0">
      <selection activeCell="AK37" sqref="AK37"/>
    </sheetView>
    <sheetView workbookViewId="1"/>
  </sheetViews>
  <sheetFormatPr defaultRowHeight="14.4" x14ac:dyDescent="0.3"/>
  <cols>
    <col min="12" max="12" width="11" bestFit="1" customWidth="1"/>
    <col min="15" max="15" width="18.44140625" bestFit="1" customWidth="1"/>
    <col min="16" max="16" width="5.77734375" customWidth="1"/>
  </cols>
  <sheetData>
    <row r="6" spans="8:18" x14ac:dyDescent="0.3">
      <c r="L6" s="7">
        <f>GETPIVOTDATA("Profit",'Porsche Pivot Analysis'!$G$2)</f>
        <v>6117550000</v>
      </c>
      <c r="O6" s="7">
        <f>GETPIVOTDATA("Revenue",'Porsche Pivot Analysis'!$H$2)</f>
        <v>36761550000</v>
      </c>
      <c r="R6" s="8">
        <f>GETPIVOTDATA("Units Sold",'Porsche Pivot Analysis'!$G$5)</f>
        <v>2520</v>
      </c>
    </row>
    <row r="11" spans="8:18" x14ac:dyDescent="0.3">
      <c r="H11"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3F518-8339-4C57-86AC-71F4B917F992}">
  <dimension ref="A1:L1001"/>
  <sheetViews>
    <sheetView workbookViewId="0">
      <selection activeCell="J1" sqref="J1"/>
    </sheetView>
    <sheetView tabSelected="1" workbookViewId="1"/>
  </sheetViews>
  <sheetFormatPr defaultRowHeight="14.4" x14ac:dyDescent="0.3"/>
  <cols>
    <col min="1" max="1" width="10.33203125" bestFit="1" customWidth="1"/>
    <col min="2" max="2" width="10.5546875" bestFit="1" customWidth="1"/>
    <col min="3" max="3" width="9.77734375" bestFit="1" customWidth="1"/>
    <col min="4" max="4" width="11.6640625" bestFit="1" customWidth="1"/>
    <col min="5" max="5" width="9" bestFit="1" customWidth="1"/>
    <col min="6" max="6" width="12.44140625" bestFit="1" customWidth="1"/>
    <col min="7" max="7" width="8" bestFit="1" customWidth="1"/>
    <col min="8" max="8" width="10.5546875" bestFit="1" customWidth="1"/>
    <col min="9" max="9" width="9" bestFit="1" customWidth="1"/>
    <col min="10" max="10" width="10.5546875" bestFit="1" customWidth="1"/>
    <col min="11" max="11" width="14.44140625" bestFit="1" customWidth="1"/>
  </cols>
  <sheetData>
    <row r="1" spans="1:12" x14ac:dyDescent="0.3">
      <c r="A1" t="s">
        <v>0</v>
      </c>
      <c r="B1" t="s">
        <v>1</v>
      </c>
      <c r="C1" t="s">
        <v>2</v>
      </c>
      <c r="D1" t="s">
        <v>3</v>
      </c>
      <c r="E1" t="s">
        <v>4</v>
      </c>
      <c r="F1" t="s">
        <v>5</v>
      </c>
      <c r="G1" t="s">
        <v>6</v>
      </c>
      <c r="H1" t="s">
        <v>7</v>
      </c>
      <c r="I1" t="s">
        <v>8</v>
      </c>
      <c r="J1" s="4" t="s">
        <v>9</v>
      </c>
      <c r="K1" t="s">
        <v>25</v>
      </c>
    </row>
    <row r="2" spans="1:12" x14ac:dyDescent="0.3">
      <c r="A2">
        <v>44927</v>
      </c>
      <c r="B2" t="s">
        <v>10</v>
      </c>
      <c r="C2" t="s">
        <v>11</v>
      </c>
      <c r="D2">
        <v>2</v>
      </c>
      <c r="E2">
        <v>9000000</v>
      </c>
      <c r="F2">
        <v>4</v>
      </c>
      <c r="G2">
        <v>1555200</v>
      </c>
      <c r="H2">
        <v>17280000</v>
      </c>
      <c r="I2">
        <v>14400000</v>
      </c>
      <c r="J2" s="4">
        <v>2880000</v>
      </c>
      <c r="K2" t="s">
        <v>26</v>
      </c>
    </row>
    <row r="3" spans="1:12" x14ac:dyDescent="0.3">
      <c r="A3">
        <v>44928</v>
      </c>
      <c r="B3" t="s">
        <v>12</v>
      </c>
      <c r="C3" t="s">
        <v>13</v>
      </c>
      <c r="D3">
        <v>3</v>
      </c>
      <c r="E3">
        <v>17000000</v>
      </c>
      <c r="F3">
        <v>5</v>
      </c>
      <c r="G3">
        <v>2907000</v>
      </c>
      <c r="H3">
        <v>48450000</v>
      </c>
      <c r="I3">
        <v>40800000</v>
      </c>
      <c r="J3">
        <v>7650000</v>
      </c>
      <c r="K3" t="s">
        <v>26</v>
      </c>
    </row>
    <row r="4" spans="1:12" x14ac:dyDescent="0.3">
      <c r="A4">
        <v>44929</v>
      </c>
      <c r="B4" t="s">
        <v>10</v>
      </c>
      <c r="C4" t="s">
        <v>13</v>
      </c>
      <c r="D4">
        <v>3</v>
      </c>
      <c r="E4">
        <v>9000000</v>
      </c>
      <c r="F4">
        <v>4</v>
      </c>
      <c r="G4">
        <v>1555200</v>
      </c>
      <c r="H4">
        <v>25920000</v>
      </c>
      <c r="I4">
        <v>21600000</v>
      </c>
      <c r="J4">
        <v>4320000</v>
      </c>
      <c r="K4" t="s">
        <v>26</v>
      </c>
    </row>
    <row r="5" spans="1:12" x14ac:dyDescent="0.3">
      <c r="A5">
        <v>44930</v>
      </c>
      <c r="B5" t="s">
        <v>12</v>
      </c>
      <c r="C5" t="s">
        <v>14</v>
      </c>
      <c r="D5">
        <v>2</v>
      </c>
      <c r="E5">
        <v>17000000</v>
      </c>
      <c r="F5">
        <v>3</v>
      </c>
      <c r="G5">
        <v>2968200</v>
      </c>
      <c r="H5">
        <v>32980000</v>
      </c>
      <c r="I5">
        <v>27200000</v>
      </c>
      <c r="J5">
        <v>5780000</v>
      </c>
      <c r="K5" t="s">
        <v>26</v>
      </c>
    </row>
    <row r="6" spans="1:12" x14ac:dyDescent="0.3">
      <c r="A6">
        <v>44931</v>
      </c>
      <c r="B6" t="s">
        <v>15</v>
      </c>
      <c r="C6" t="s">
        <v>14</v>
      </c>
      <c r="D6">
        <v>2</v>
      </c>
      <c r="E6">
        <v>18000000</v>
      </c>
      <c r="F6">
        <v>2</v>
      </c>
      <c r="G6">
        <v>3175200</v>
      </c>
      <c r="H6">
        <v>35280000</v>
      </c>
      <c r="I6">
        <v>28800000</v>
      </c>
      <c r="J6">
        <v>6480000</v>
      </c>
      <c r="K6" t="s">
        <v>26</v>
      </c>
    </row>
    <row r="7" spans="1:12" x14ac:dyDescent="0.3">
      <c r="A7">
        <v>44932</v>
      </c>
      <c r="B7" t="s">
        <v>16</v>
      </c>
      <c r="C7" t="s">
        <v>11</v>
      </c>
      <c r="D7">
        <v>4</v>
      </c>
      <c r="E7">
        <v>16000000</v>
      </c>
      <c r="F7">
        <v>3</v>
      </c>
      <c r="G7">
        <v>2793600</v>
      </c>
      <c r="H7">
        <v>62080000</v>
      </c>
      <c r="I7">
        <v>51200000</v>
      </c>
      <c r="J7">
        <v>10880000</v>
      </c>
      <c r="K7" t="s">
        <v>26</v>
      </c>
      <c r="L7" s="6"/>
    </row>
    <row r="8" spans="1:12" x14ac:dyDescent="0.3">
      <c r="A8">
        <v>44933</v>
      </c>
      <c r="B8" t="s">
        <v>15</v>
      </c>
      <c r="C8" t="s">
        <v>11</v>
      </c>
      <c r="D8">
        <v>1</v>
      </c>
      <c r="E8">
        <v>18000000</v>
      </c>
      <c r="F8">
        <v>4</v>
      </c>
      <c r="G8">
        <v>3110400</v>
      </c>
      <c r="H8">
        <v>17280000</v>
      </c>
      <c r="I8">
        <v>14400000</v>
      </c>
      <c r="J8">
        <v>2880000</v>
      </c>
      <c r="K8" t="s">
        <v>26</v>
      </c>
    </row>
    <row r="9" spans="1:12" x14ac:dyDescent="0.3">
      <c r="A9">
        <v>44934</v>
      </c>
      <c r="B9" t="s">
        <v>15</v>
      </c>
      <c r="C9" t="s">
        <v>17</v>
      </c>
      <c r="D9">
        <v>4</v>
      </c>
      <c r="E9">
        <v>18000000</v>
      </c>
      <c r="F9">
        <v>5</v>
      </c>
      <c r="G9">
        <v>3078000</v>
      </c>
      <c r="H9">
        <v>68400000</v>
      </c>
      <c r="I9">
        <v>57600000</v>
      </c>
      <c r="J9">
        <v>10800000</v>
      </c>
      <c r="K9" t="s">
        <v>26</v>
      </c>
    </row>
    <row r="10" spans="1:12" x14ac:dyDescent="0.3">
      <c r="A10">
        <v>44935</v>
      </c>
      <c r="B10" t="s">
        <v>15</v>
      </c>
      <c r="C10" t="s">
        <v>14</v>
      </c>
      <c r="D10">
        <v>1</v>
      </c>
      <c r="E10">
        <v>18000000</v>
      </c>
      <c r="F10">
        <v>5</v>
      </c>
      <c r="G10">
        <v>3078000</v>
      </c>
      <c r="H10">
        <v>17100000</v>
      </c>
      <c r="I10">
        <v>14400000</v>
      </c>
      <c r="J10">
        <v>2700000</v>
      </c>
      <c r="K10" t="s">
        <v>26</v>
      </c>
    </row>
    <row r="11" spans="1:12" x14ac:dyDescent="0.3">
      <c r="A11">
        <v>44936</v>
      </c>
      <c r="B11" t="s">
        <v>15</v>
      </c>
      <c r="C11" t="s">
        <v>13</v>
      </c>
      <c r="D11">
        <v>2</v>
      </c>
      <c r="E11">
        <v>18000000</v>
      </c>
      <c r="F11">
        <v>6</v>
      </c>
      <c r="G11">
        <v>3045600</v>
      </c>
      <c r="H11">
        <v>33840000</v>
      </c>
      <c r="I11">
        <v>28800000</v>
      </c>
      <c r="J11">
        <v>5040000</v>
      </c>
      <c r="K11" t="s">
        <v>26</v>
      </c>
    </row>
    <row r="12" spans="1:12" x14ac:dyDescent="0.3">
      <c r="A12">
        <v>44937</v>
      </c>
      <c r="B12" t="s">
        <v>16</v>
      </c>
      <c r="C12" t="s">
        <v>14</v>
      </c>
      <c r="D12">
        <v>2</v>
      </c>
      <c r="E12">
        <v>16000000</v>
      </c>
      <c r="F12">
        <v>5</v>
      </c>
      <c r="G12">
        <v>2736000</v>
      </c>
      <c r="H12">
        <v>30400000</v>
      </c>
      <c r="I12">
        <v>25600000</v>
      </c>
      <c r="J12">
        <v>4800000</v>
      </c>
      <c r="K12" t="s">
        <v>26</v>
      </c>
    </row>
    <row r="13" spans="1:12" x14ac:dyDescent="0.3">
      <c r="A13">
        <v>44938</v>
      </c>
      <c r="B13" t="s">
        <v>15</v>
      </c>
      <c r="C13" t="s">
        <v>11</v>
      </c>
      <c r="D13">
        <v>3</v>
      </c>
      <c r="E13">
        <v>18000000</v>
      </c>
      <c r="F13">
        <v>3</v>
      </c>
      <c r="G13">
        <v>3142800</v>
      </c>
      <c r="H13">
        <v>52380000</v>
      </c>
      <c r="I13">
        <v>43200000</v>
      </c>
      <c r="J13">
        <v>9180000</v>
      </c>
      <c r="K13" t="s">
        <v>26</v>
      </c>
    </row>
    <row r="14" spans="1:12" x14ac:dyDescent="0.3">
      <c r="A14">
        <v>44939</v>
      </c>
      <c r="B14" t="s">
        <v>15</v>
      </c>
      <c r="C14" t="s">
        <v>18</v>
      </c>
      <c r="D14">
        <v>3</v>
      </c>
      <c r="E14">
        <v>18000000</v>
      </c>
      <c r="F14">
        <v>5</v>
      </c>
      <c r="G14">
        <v>3078000</v>
      </c>
      <c r="H14">
        <v>51300000</v>
      </c>
      <c r="I14">
        <v>43200000</v>
      </c>
      <c r="J14">
        <v>8100000</v>
      </c>
      <c r="K14" t="s">
        <v>26</v>
      </c>
    </row>
    <row r="15" spans="1:12" x14ac:dyDescent="0.3">
      <c r="A15">
        <v>44940</v>
      </c>
      <c r="B15" t="s">
        <v>15</v>
      </c>
      <c r="C15" t="s">
        <v>14</v>
      </c>
      <c r="D15">
        <v>1</v>
      </c>
      <c r="E15">
        <v>18000000</v>
      </c>
      <c r="F15">
        <v>6</v>
      </c>
      <c r="G15">
        <v>3045600</v>
      </c>
      <c r="H15">
        <v>16920000</v>
      </c>
      <c r="I15">
        <v>14400000</v>
      </c>
      <c r="J15">
        <v>2520000</v>
      </c>
      <c r="K15" t="s">
        <v>26</v>
      </c>
    </row>
    <row r="16" spans="1:12" x14ac:dyDescent="0.3">
      <c r="A16">
        <v>44941</v>
      </c>
      <c r="B16" t="s">
        <v>10</v>
      </c>
      <c r="C16" t="s">
        <v>17</v>
      </c>
      <c r="D16">
        <v>3</v>
      </c>
      <c r="E16">
        <v>9000000</v>
      </c>
      <c r="F16">
        <v>5</v>
      </c>
      <c r="G16">
        <v>1539000</v>
      </c>
      <c r="H16">
        <v>25650000</v>
      </c>
      <c r="I16">
        <v>21600000</v>
      </c>
      <c r="J16">
        <v>4050000</v>
      </c>
      <c r="K16" t="s">
        <v>26</v>
      </c>
    </row>
    <row r="17" spans="1:11" x14ac:dyDescent="0.3">
      <c r="A17">
        <v>44942</v>
      </c>
      <c r="B17" t="s">
        <v>15</v>
      </c>
      <c r="C17" t="s">
        <v>14</v>
      </c>
      <c r="D17">
        <v>1</v>
      </c>
      <c r="E17">
        <v>18000000</v>
      </c>
      <c r="F17">
        <v>2</v>
      </c>
      <c r="G17">
        <v>3175200</v>
      </c>
      <c r="H17">
        <v>17640000</v>
      </c>
      <c r="I17">
        <v>14400000</v>
      </c>
      <c r="J17">
        <v>3240000</v>
      </c>
      <c r="K17" t="s">
        <v>26</v>
      </c>
    </row>
    <row r="18" spans="1:11" x14ac:dyDescent="0.3">
      <c r="A18">
        <v>44943</v>
      </c>
      <c r="B18" t="s">
        <v>19</v>
      </c>
      <c r="C18" t="s">
        <v>17</v>
      </c>
      <c r="D18">
        <v>1</v>
      </c>
      <c r="E18">
        <v>15000000</v>
      </c>
      <c r="F18">
        <v>2</v>
      </c>
      <c r="G18">
        <v>2646000</v>
      </c>
      <c r="H18">
        <v>14700000</v>
      </c>
      <c r="I18">
        <v>12000000</v>
      </c>
      <c r="J18">
        <v>2700000</v>
      </c>
      <c r="K18" t="s">
        <v>26</v>
      </c>
    </row>
    <row r="19" spans="1:11" x14ac:dyDescent="0.3">
      <c r="A19">
        <v>44944</v>
      </c>
      <c r="B19" t="s">
        <v>19</v>
      </c>
      <c r="C19" t="s">
        <v>14</v>
      </c>
      <c r="D19">
        <v>2</v>
      </c>
      <c r="E19">
        <v>15000000</v>
      </c>
      <c r="F19">
        <v>6</v>
      </c>
      <c r="G19">
        <v>2538000</v>
      </c>
      <c r="H19">
        <v>28200000</v>
      </c>
      <c r="I19">
        <v>24000000</v>
      </c>
      <c r="J19">
        <v>4200000</v>
      </c>
      <c r="K19" t="s">
        <v>26</v>
      </c>
    </row>
    <row r="20" spans="1:11" x14ac:dyDescent="0.3">
      <c r="A20">
        <v>44945</v>
      </c>
      <c r="B20" t="s">
        <v>19</v>
      </c>
      <c r="C20" t="s">
        <v>18</v>
      </c>
      <c r="D20">
        <v>3</v>
      </c>
      <c r="E20">
        <v>15000000</v>
      </c>
      <c r="F20">
        <v>2</v>
      </c>
      <c r="G20">
        <v>2646000</v>
      </c>
      <c r="H20">
        <v>44100000</v>
      </c>
      <c r="I20">
        <v>36000000</v>
      </c>
      <c r="J20">
        <v>8100000</v>
      </c>
      <c r="K20" t="s">
        <v>26</v>
      </c>
    </row>
    <row r="21" spans="1:11" x14ac:dyDescent="0.3">
      <c r="A21">
        <v>44946</v>
      </c>
      <c r="B21" t="s">
        <v>12</v>
      </c>
      <c r="C21" t="s">
        <v>13</v>
      </c>
      <c r="D21">
        <v>4</v>
      </c>
      <c r="E21">
        <v>17000000</v>
      </c>
      <c r="F21">
        <v>5</v>
      </c>
      <c r="G21">
        <v>2907000</v>
      </c>
      <c r="H21">
        <v>64600000</v>
      </c>
      <c r="I21">
        <v>54400000</v>
      </c>
      <c r="J21">
        <v>10200000</v>
      </c>
      <c r="K21" t="s">
        <v>26</v>
      </c>
    </row>
    <row r="22" spans="1:11" x14ac:dyDescent="0.3">
      <c r="A22">
        <v>44947</v>
      </c>
      <c r="B22" t="s">
        <v>16</v>
      </c>
      <c r="C22" t="s">
        <v>13</v>
      </c>
      <c r="D22">
        <v>3</v>
      </c>
      <c r="E22">
        <v>16000000</v>
      </c>
      <c r="F22">
        <v>4</v>
      </c>
      <c r="G22">
        <v>2764800</v>
      </c>
      <c r="H22">
        <v>46080000</v>
      </c>
      <c r="I22">
        <v>38400000</v>
      </c>
      <c r="J22">
        <v>7680000</v>
      </c>
      <c r="K22" t="s">
        <v>26</v>
      </c>
    </row>
    <row r="23" spans="1:11" x14ac:dyDescent="0.3">
      <c r="A23">
        <v>44948</v>
      </c>
      <c r="B23" t="s">
        <v>15</v>
      </c>
      <c r="C23" t="s">
        <v>11</v>
      </c>
      <c r="D23">
        <v>3</v>
      </c>
      <c r="E23">
        <v>18000000</v>
      </c>
      <c r="F23">
        <v>5</v>
      </c>
      <c r="G23">
        <v>3078000</v>
      </c>
      <c r="H23">
        <v>51300000</v>
      </c>
      <c r="I23">
        <v>43200000</v>
      </c>
      <c r="J23">
        <v>8100000</v>
      </c>
      <c r="K23" t="s">
        <v>26</v>
      </c>
    </row>
    <row r="24" spans="1:11" x14ac:dyDescent="0.3">
      <c r="A24">
        <v>44949</v>
      </c>
      <c r="B24" t="s">
        <v>10</v>
      </c>
      <c r="C24" t="s">
        <v>14</v>
      </c>
      <c r="D24">
        <v>4</v>
      </c>
      <c r="E24">
        <v>9000000</v>
      </c>
      <c r="F24">
        <v>5</v>
      </c>
      <c r="G24">
        <v>1539000</v>
      </c>
      <c r="H24">
        <v>34200000</v>
      </c>
      <c r="I24">
        <v>28800000</v>
      </c>
      <c r="J24">
        <v>5400000</v>
      </c>
      <c r="K24" t="s">
        <v>26</v>
      </c>
    </row>
    <row r="25" spans="1:11" x14ac:dyDescent="0.3">
      <c r="A25">
        <v>44950</v>
      </c>
      <c r="B25" t="s">
        <v>16</v>
      </c>
      <c r="C25" t="s">
        <v>13</v>
      </c>
      <c r="D25">
        <v>3</v>
      </c>
      <c r="E25">
        <v>16000000</v>
      </c>
      <c r="F25">
        <v>3</v>
      </c>
      <c r="G25">
        <v>2793600</v>
      </c>
      <c r="H25">
        <v>46560000</v>
      </c>
      <c r="I25">
        <v>38400000</v>
      </c>
      <c r="J25">
        <v>8160000</v>
      </c>
      <c r="K25" t="s">
        <v>26</v>
      </c>
    </row>
    <row r="26" spans="1:11" x14ac:dyDescent="0.3">
      <c r="A26">
        <v>44951</v>
      </c>
      <c r="B26" t="s">
        <v>12</v>
      </c>
      <c r="C26" t="s">
        <v>17</v>
      </c>
      <c r="D26">
        <v>3</v>
      </c>
      <c r="E26">
        <v>17000000</v>
      </c>
      <c r="F26">
        <v>4</v>
      </c>
      <c r="G26">
        <v>2937600</v>
      </c>
      <c r="H26">
        <v>48960000</v>
      </c>
      <c r="I26">
        <v>40800000</v>
      </c>
      <c r="J26">
        <v>8160000</v>
      </c>
      <c r="K26" t="s">
        <v>26</v>
      </c>
    </row>
    <row r="27" spans="1:11" x14ac:dyDescent="0.3">
      <c r="A27">
        <v>44952</v>
      </c>
      <c r="B27" t="s">
        <v>10</v>
      </c>
      <c r="C27" t="s">
        <v>11</v>
      </c>
      <c r="D27">
        <v>3</v>
      </c>
      <c r="E27">
        <v>9000000</v>
      </c>
      <c r="F27">
        <v>5</v>
      </c>
      <c r="G27">
        <v>1539000</v>
      </c>
      <c r="H27">
        <v>25650000</v>
      </c>
      <c r="I27">
        <v>21600000</v>
      </c>
      <c r="J27">
        <v>4050000</v>
      </c>
      <c r="K27" t="s">
        <v>26</v>
      </c>
    </row>
    <row r="28" spans="1:11" x14ac:dyDescent="0.3">
      <c r="A28">
        <v>44953</v>
      </c>
      <c r="B28" t="s">
        <v>10</v>
      </c>
      <c r="C28" t="s">
        <v>17</v>
      </c>
      <c r="D28">
        <v>2</v>
      </c>
      <c r="E28">
        <v>9000000</v>
      </c>
      <c r="F28">
        <v>5</v>
      </c>
      <c r="G28">
        <v>1539000</v>
      </c>
      <c r="H28">
        <v>17100000</v>
      </c>
      <c r="I28">
        <v>14400000</v>
      </c>
      <c r="J28">
        <v>2700000</v>
      </c>
      <c r="K28" t="s">
        <v>26</v>
      </c>
    </row>
    <row r="29" spans="1:11" x14ac:dyDescent="0.3">
      <c r="A29">
        <v>44954</v>
      </c>
      <c r="B29" t="s">
        <v>15</v>
      </c>
      <c r="C29" t="s">
        <v>11</v>
      </c>
      <c r="D29">
        <v>3</v>
      </c>
      <c r="E29">
        <v>18000000</v>
      </c>
      <c r="F29">
        <v>5</v>
      </c>
      <c r="G29">
        <v>3078000</v>
      </c>
      <c r="H29">
        <v>51300000</v>
      </c>
      <c r="I29">
        <v>43200000</v>
      </c>
      <c r="J29">
        <v>8100000</v>
      </c>
      <c r="K29" t="s">
        <v>26</v>
      </c>
    </row>
    <row r="30" spans="1:11" x14ac:dyDescent="0.3">
      <c r="A30">
        <v>44955</v>
      </c>
      <c r="B30" t="s">
        <v>19</v>
      </c>
      <c r="C30" t="s">
        <v>11</v>
      </c>
      <c r="D30">
        <v>1</v>
      </c>
      <c r="E30">
        <v>15000000</v>
      </c>
      <c r="F30">
        <v>4</v>
      </c>
      <c r="G30">
        <v>2592000</v>
      </c>
      <c r="H30">
        <v>14400000</v>
      </c>
      <c r="I30">
        <v>12000000</v>
      </c>
      <c r="J30">
        <v>2400000</v>
      </c>
      <c r="K30" t="s">
        <v>26</v>
      </c>
    </row>
    <row r="31" spans="1:11" x14ac:dyDescent="0.3">
      <c r="A31">
        <v>44956</v>
      </c>
      <c r="B31" t="s">
        <v>12</v>
      </c>
      <c r="C31" t="s">
        <v>18</v>
      </c>
      <c r="D31">
        <v>2</v>
      </c>
      <c r="E31">
        <v>17000000</v>
      </c>
      <c r="F31">
        <v>5</v>
      </c>
      <c r="G31">
        <v>2907000</v>
      </c>
      <c r="H31">
        <v>32300000</v>
      </c>
      <c r="I31">
        <v>27200000</v>
      </c>
      <c r="J31">
        <v>5100000</v>
      </c>
      <c r="K31" t="s">
        <v>26</v>
      </c>
    </row>
    <row r="32" spans="1:11" x14ac:dyDescent="0.3">
      <c r="A32">
        <v>44957</v>
      </c>
      <c r="B32" t="s">
        <v>19</v>
      </c>
      <c r="C32" t="s">
        <v>18</v>
      </c>
      <c r="D32">
        <v>2</v>
      </c>
      <c r="E32">
        <v>15000000</v>
      </c>
      <c r="F32">
        <v>6</v>
      </c>
      <c r="G32">
        <v>2538000</v>
      </c>
      <c r="H32">
        <v>28200000</v>
      </c>
      <c r="I32">
        <v>24000000</v>
      </c>
      <c r="J32">
        <v>4200000</v>
      </c>
      <c r="K32" t="s">
        <v>26</v>
      </c>
    </row>
    <row r="33" spans="1:11" x14ac:dyDescent="0.3">
      <c r="A33">
        <v>44958</v>
      </c>
      <c r="B33" t="s">
        <v>15</v>
      </c>
      <c r="C33" t="s">
        <v>11</v>
      </c>
      <c r="D33">
        <v>3</v>
      </c>
      <c r="E33">
        <v>18000000</v>
      </c>
      <c r="F33">
        <v>3</v>
      </c>
      <c r="G33">
        <v>3142800</v>
      </c>
      <c r="H33">
        <v>52380000</v>
      </c>
      <c r="I33">
        <v>43200000</v>
      </c>
      <c r="J33">
        <v>9180000</v>
      </c>
      <c r="K33" t="s">
        <v>27</v>
      </c>
    </row>
    <row r="34" spans="1:11" x14ac:dyDescent="0.3">
      <c r="A34">
        <v>44959</v>
      </c>
      <c r="B34" t="s">
        <v>15</v>
      </c>
      <c r="C34" t="s">
        <v>14</v>
      </c>
      <c r="D34">
        <v>3</v>
      </c>
      <c r="E34">
        <v>18000000</v>
      </c>
      <c r="F34">
        <v>6</v>
      </c>
      <c r="G34">
        <v>3045600</v>
      </c>
      <c r="H34">
        <v>50760000</v>
      </c>
      <c r="I34">
        <v>43200000</v>
      </c>
      <c r="J34">
        <v>7560000</v>
      </c>
      <c r="K34" t="s">
        <v>27</v>
      </c>
    </row>
    <row r="35" spans="1:11" x14ac:dyDescent="0.3">
      <c r="A35">
        <v>44960</v>
      </c>
      <c r="B35" t="s">
        <v>16</v>
      </c>
      <c r="C35" t="s">
        <v>11</v>
      </c>
      <c r="D35">
        <v>1</v>
      </c>
      <c r="E35">
        <v>16000000</v>
      </c>
      <c r="F35">
        <v>2</v>
      </c>
      <c r="G35">
        <v>2822400</v>
      </c>
      <c r="H35">
        <v>15680000</v>
      </c>
      <c r="I35">
        <v>12800000</v>
      </c>
      <c r="J35">
        <v>2880000</v>
      </c>
      <c r="K35" t="s">
        <v>27</v>
      </c>
    </row>
    <row r="36" spans="1:11" x14ac:dyDescent="0.3">
      <c r="A36">
        <v>44961</v>
      </c>
      <c r="B36" t="s">
        <v>10</v>
      </c>
      <c r="C36" t="s">
        <v>14</v>
      </c>
      <c r="D36">
        <v>3</v>
      </c>
      <c r="E36">
        <v>9000000</v>
      </c>
      <c r="F36">
        <v>4</v>
      </c>
      <c r="G36">
        <v>1555200</v>
      </c>
      <c r="H36">
        <v>25920000</v>
      </c>
      <c r="I36">
        <v>21600000</v>
      </c>
      <c r="J36">
        <v>4320000</v>
      </c>
      <c r="K36" t="s">
        <v>27</v>
      </c>
    </row>
    <row r="37" spans="1:11" x14ac:dyDescent="0.3">
      <c r="A37">
        <v>44962</v>
      </c>
      <c r="B37" t="s">
        <v>15</v>
      </c>
      <c r="C37" t="s">
        <v>11</v>
      </c>
      <c r="D37">
        <v>3</v>
      </c>
      <c r="E37">
        <v>18000000</v>
      </c>
      <c r="F37">
        <v>6</v>
      </c>
      <c r="G37">
        <v>3045600</v>
      </c>
      <c r="H37">
        <v>50760000</v>
      </c>
      <c r="I37">
        <v>43200000</v>
      </c>
      <c r="J37">
        <v>7560000</v>
      </c>
      <c r="K37" t="s">
        <v>27</v>
      </c>
    </row>
    <row r="38" spans="1:11" x14ac:dyDescent="0.3">
      <c r="A38">
        <v>44963</v>
      </c>
      <c r="B38" t="s">
        <v>15</v>
      </c>
      <c r="C38" t="s">
        <v>17</v>
      </c>
      <c r="D38">
        <v>3</v>
      </c>
      <c r="E38">
        <v>18000000</v>
      </c>
      <c r="F38">
        <v>4</v>
      </c>
      <c r="G38">
        <v>3110400</v>
      </c>
      <c r="H38">
        <v>51840000</v>
      </c>
      <c r="I38">
        <v>43200000</v>
      </c>
      <c r="J38">
        <v>8640000</v>
      </c>
      <c r="K38" t="s">
        <v>27</v>
      </c>
    </row>
    <row r="39" spans="1:11" x14ac:dyDescent="0.3">
      <c r="A39">
        <v>44964</v>
      </c>
      <c r="B39" t="s">
        <v>10</v>
      </c>
      <c r="C39" t="s">
        <v>17</v>
      </c>
      <c r="D39">
        <v>4</v>
      </c>
      <c r="E39">
        <v>9000000</v>
      </c>
      <c r="F39">
        <v>3</v>
      </c>
      <c r="G39">
        <v>1571400</v>
      </c>
      <c r="H39">
        <v>34920000</v>
      </c>
      <c r="I39">
        <v>28800000</v>
      </c>
      <c r="J39">
        <v>6120000</v>
      </c>
      <c r="K39" t="s">
        <v>27</v>
      </c>
    </row>
    <row r="40" spans="1:11" x14ac:dyDescent="0.3">
      <c r="A40">
        <v>44965</v>
      </c>
      <c r="B40" t="s">
        <v>15</v>
      </c>
      <c r="C40" t="s">
        <v>18</v>
      </c>
      <c r="D40">
        <v>4</v>
      </c>
      <c r="E40">
        <v>18000000</v>
      </c>
      <c r="F40">
        <v>4</v>
      </c>
      <c r="G40">
        <v>3110400</v>
      </c>
      <c r="H40">
        <v>69120000</v>
      </c>
      <c r="I40">
        <v>57600000</v>
      </c>
      <c r="J40">
        <v>11520000</v>
      </c>
      <c r="K40" t="s">
        <v>27</v>
      </c>
    </row>
    <row r="41" spans="1:11" x14ac:dyDescent="0.3">
      <c r="A41">
        <v>44966</v>
      </c>
      <c r="B41" t="s">
        <v>15</v>
      </c>
      <c r="C41" t="s">
        <v>17</v>
      </c>
      <c r="D41">
        <v>4</v>
      </c>
      <c r="E41">
        <v>18000000</v>
      </c>
      <c r="F41">
        <v>6</v>
      </c>
      <c r="G41">
        <v>3045600</v>
      </c>
      <c r="H41">
        <v>67680000</v>
      </c>
      <c r="I41">
        <v>57600000</v>
      </c>
      <c r="J41">
        <v>10080000</v>
      </c>
      <c r="K41" t="s">
        <v>27</v>
      </c>
    </row>
    <row r="42" spans="1:11" x14ac:dyDescent="0.3">
      <c r="A42">
        <v>44967</v>
      </c>
      <c r="B42" t="s">
        <v>19</v>
      </c>
      <c r="C42" t="s">
        <v>17</v>
      </c>
      <c r="D42">
        <v>2</v>
      </c>
      <c r="E42">
        <v>15000000</v>
      </c>
      <c r="F42">
        <v>2</v>
      </c>
      <c r="G42">
        <v>2646000</v>
      </c>
      <c r="H42">
        <v>29400000</v>
      </c>
      <c r="I42">
        <v>24000000</v>
      </c>
      <c r="J42">
        <v>5400000</v>
      </c>
      <c r="K42" t="s">
        <v>27</v>
      </c>
    </row>
    <row r="43" spans="1:11" x14ac:dyDescent="0.3">
      <c r="A43">
        <v>44968</v>
      </c>
      <c r="B43" t="s">
        <v>15</v>
      </c>
      <c r="C43" t="s">
        <v>11</v>
      </c>
      <c r="D43">
        <v>4</v>
      </c>
      <c r="E43">
        <v>18000000</v>
      </c>
      <c r="F43">
        <v>6</v>
      </c>
      <c r="G43">
        <v>3045600</v>
      </c>
      <c r="H43">
        <v>67680000</v>
      </c>
      <c r="I43">
        <v>57600000</v>
      </c>
      <c r="J43">
        <v>10080000</v>
      </c>
      <c r="K43" t="s">
        <v>27</v>
      </c>
    </row>
    <row r="44" spans="1:11" x14ac:dyDescent="0.3">
      <c r="A44">
        <v>44969</v>
      </c>
      <c r="B44" t="s">
        <v>16</v>
      </c>
      <c r="C44" t="s">
        <v>17</v>
      </c>
      <c r="D44">
        <v>4</v>
      </c>
      <c r="E44">
        <v>16000000</v>
      </c>
      <c r="F44">
        <v>5</v>
      </c>
      <c r="G44">
        <v>2736000</v>
      </c>
      <c r="H44">
        <v>60800000</v>
      </c>
      <c r="I44">
        <v>51200000</v>
      </c>
      <c r="J44">
        <v>9600000</v>
      </c>
      <c r="K44" t="s">
        <v>27</v>
      </c>
    </row>
    <row r="45" spans="1:11" x14ac:dyDescent="0.3">
      <c r="A45">
        <v>44970</v>
      </c>
      <c r="B45" t="s">
        <v>12</v>
      </c>
      <c r="C45" t="s">
        <v>18</v>
      </c>
      <c r="D45">
        <v>1</v>
      </c>
      <c r="E45">
        <v>17000000</v>
      </c>
      <c r="F45">
        <v>4</v>
      </c>
      <c r="G45">
        <v>2937600</v>
      </c>
      <c r="H45">
        <v>16320000</v>
      </c>
      <c r="I45">
        <v>13600000</v>
      </c>
      <c r="J45">
        <v>2720000</v>
      </c>
      <c r="K45" t="s">
        <v>27</v>
      </c>
    </row>
    <row r="46" spans="1:11" x14ac:dyDescent="0.3">
      <c r="A46">
        <v>44971</v>
      </c>
      <c r="B46" t="s">
        <v>10</v>
      </c>
      <c r="C46" t="s">
        <v>13</v>
      </c>
      <c r="D46">
        <v>3</v>
      </c>
      <c r="E46">
        <v>9000000</v>
      </c>
      <c r="F46">
        <v>6</v>
      </c>
      <c r="G46">
        <v>1522800</v>
      </c>
      <c r="H46">
        <v>25380000</v>
      </c>
      <c r="I46">
        <v>21600000</v>
      </c>
      <c r="J46">
        <v>3780000</v>
      </c>
      <c r="K46" t="s">
        <v>27</v>
      </c>
    </row>
    <row r="47" spans="1:11" x14ac:dyDescent="0.3">
      <c r="A47">
        <v>44972</v>
      </c>
      <c r="B47" t="s">
        <v>15</v>
      </c>
      <c r="C47" t="s">
        <v>14</v>
      </c>
      <c r="D47">
        <v>4</v>
      </c>
      <c r="E47">
        <v>18000000</v>
      </c>
      <c r="F47">
        <v>2</v>
      </c>
      <c r="G47">
        <v>3175200</v>
      </c>
      <c r="H47">
        <v>70560000</v>
      </c>
      <c r="I47">
        <v>57600000</v>
      </c>
      <c r="J47">
        <v>12960000</v>
      </c>
      <c r="K47" t="s">
        <v>27</v>
      </c>
    </row>
    <row r="48" spans="1:11" x14ac:dyDescent="0.3">
      <c r="A48">
        <v>44973</v>
      </c>
      <c r="B48" t="s">
        <v>19</v>
      </c>
      <c r="C48" t="s">
        <v>17</v>
      </c>
      <c r="D48">
        <v>2</v>
      </c>
      <c r="E48">
        <v>15000000</v>
      </c>
      <c r="F48">
        <v>3</v>
      </c>
      <c r="G48">
        <v>2619000</v>
      </c>
      <c r="H48">
        <v>29100000</v>
      </c>
      <c r="I48">
        <v>24000000</v>
      </c>
      <c r="J48">
        <v>5100000</v>
      </c>
      <c r="K48" t="s">
        <v>27</v>
      </c>
    </row>
    <row r="49" spans="1:11" x14ac:dyDescent="0.3">
      <c r="A49">
        <v>44974</v>
      </c>
      <c r="B49" t="s">
        <v>15</v>
      </c>
      <c r="C49" t="s">
        <v>17</v>
      </c>
      <c r="D49">
        <v>2</v>
      </c>
      <c r="E49">
        <v>18000000</v>
      </c>
      <c r="F49">
        <v>4</v>
      </c>
      <c r="G49">
        <v>3110400</v>
      </c>
      <c r="H49">
        <v>34560000</v>
      </c>
      <c r="I49">
        <v>28800000</v>
      </c>
      <c r="J49">
        <v>5760000</v>
      </c>
      <c r="K49" t="s">
        <v>27</v>
      </c>
    </row>
    <row r="50" spans="1:11" x14ac:dyDescent="0.3">
      <c r="A50">
        <v>44975</v>
      </c>
      <c r="B50" t="s">
        <v>16</v>
      </c>
      <c r="C50" t="s">
        <v>11</v>
      </c>
      <c r="D50">
        <v>3</v>
      </c>
      <c r="E50">
        <v>16000000</v>
      </c>
      <c r="F50">
        <v>4</v>
      </c>
      <c r="G50">
        <v>2764800</v>
      </c>
      <c r="H50">
        <v>46080000</v>
      </c>
      <c r="I50">
        <v>38400000</v>
      </c>
      <c r="J50">
        <v>7680000</v>
      </c>
      <c r="K50" t="s">
        <v>27</v>
      </c>
    </row>
    <row r="51" spans="1:11" x14ac:dyDescent="0.3">
      <c r="A51">
        <v>44976</v>
      </c>
      <c r="B51" t="s">
        <v>10</v>
      </c>
      <c r="C51" t="s">
        <v>18</v>
      </c>
      <c r="D51">
        <v>3</v>
      </c>
      <c r="E51">
        <v>9000000</v>
      </c>
      <c r="F51">
        <v>3</v>
      </c>
      <c r="G51">
        <v>1571400</v>
      </c>
      <c r="H51">
        <v>26190000</v>
      </c>
      <c r="I51">
        <v>21600000</v>
      </c>
      <c r="J51">
        <v>4590000</v>
      </c>
      <c r="K51" t="s">
        <v>27</v>
      </c>
    </row>
    <row r="52" spans="1:11" x14ac:dyDescent="0.3">
      <c r="A52">
        <v>44977</v>
      </c>
      <c r="B52" t="s">
        <v>12</v>
      </c>
      <c r="C52" t="s">
        <v>17</v>
      </c>
      <c r="D52">
        <v>3</v>
      </c>
      <c r="E52">
        <v>17000000</v>
      </c>
      <c r="F52">
        <v>5</v>
      </c>
      <c r="G52">
        <v>2907000</v>
      </c>
      <c r="H52">
        <v>48450000</v>
      </c>
      <c r="I52">
        <v>40800000</v>
      </c>
      <c r="J52">
        <v>7650000</v>
      </c>
      <c r="K52" t="s">
        <v>27</v>
      </c>
    </row>
    <row r="53" spans="1:11" x14ac:dyDescent="0.3">
      <c r="A53">
        <v>44978</v>
      </c>
      <c r="B53" t="s">
        <v>12</v>
      </c>
      <c r="C53" t="s">
        <v>14</v>
      </c>
      <c r="D53">
        <v>4</v>
      </c>
      <c r="E53">
        <v>17000000</v>
      </c>
      <c r="F53">
        <v>4</v>
      </c>
      <c r="G53">
        <v>2937600</v>
      </c>
      <c r="H53">
        <v>65280000</v>
      </c>
      <c r="I53">
        <v>54400000</v>
      </c>
      <c r="J53">
        <v>10880000</v>
      </c>
      <c r="K53" t="s">
        <v>27</v>
      </c>
    </row>
    <row r="54" spans="1:11" x14ac:dyDescent="0.3">
      <c r="A54">
        <v>44979</v>
      </c>
      <c r="B54" t="s">
        <v>10</v>
      </c>
      <c r="C54" t="s">
        <v>11</v>
      </c>
      <c r="D54">
        <v>4</v>
      </c>
      <c r="E54">
        <v>9000000</v>
      </c>
      <c r="F54">
        <v>6</v>
      </c>
      <c r="G54">
        <v>1522800</v>
      </c>
      <c r="H54">
        <v>33840000</v>
      </c>
      <c r="I54">
        <v>28800000</v>
      </c>
      <c r="J54">
        <v>5040000</v>
      </c>
      <c r="K54" t="s">
        <v>27</v>
      </c>
    </row>
    <row r="55" spans="1:11" x14ac:dyDescent="0.3">
      <c r="A55">
        <v>44980</v>
      </c>
      <c r="B55" t="s">
        <v>19</v>
      </c>
      <c r="C55" t="s">
        <v>11</v>
      </c>
      <c r="D55">
        <v>2</v>
      </c>
      <c r="E55">
        <v>15000000</v>
      </c>
      <c r="F55">
        <v>6</v>
      </c>
      <c r="G55">
        <v>2538000</v>
      </c>
      <c r="H55">
        <v>28200000</v>
      </c>
      <c r="I55">
        <v>24000000</v>
      </c>
      <c r="J55">
        <v>4200000</v>
      </c>
      <c r="K55" t="s">
        <v>27</v>
      </c>
    </row>
    <row r="56" spans="1:11" x14ac:dyDescent="0.3">
      <c r="A56">
        <v>44981</v>
      </c>
      <c r="B56" t="s">
        <v>10</v>
      </c>
      <c r="C56" t="s">
        <v>17</v>
      </c>
      <c r="D56">
        <v>1</v>
      </c>
      <c r="E56">
        <v>9000000</v>
      </c>
      <c r="F56">
        <v>2</v>
      </c>
      <c r="G56">
        <v>1587600</v>
      </c>
      <c r="H56">
        <v>8820000</v>
      </c>
      <c r="I56">
        <v>7200000</v>
      </c>
      <c r="J56">
        <v>1620000</v>
      </c>
      <c r="K56" t="s">
        <v>27</v>
      </c>
    </row>
    <row r="57" spans="1:11" x14ac:dyDescent="0.3">
      <c r="A57">
        <v>44982</v>
      </c>
      <c r="B57" t="s">
        <v>16</v>
      </c>
      <c r="C57" t="s">
        <v>11</v>
      </c>
      <c r="D57">
        <v>3</v>
      </c>
      <c r="E57">
        <v>16000000</v>
      </c>
      <c r="F57">
        <v>5</v>
      </c>
      <c r="G57">
        <v>2736000</v>
      </c>
      <c r="H57">
        <v>45600000</v>
      </c>
      <c r="I57">
        <v>38400000</v>
      </c>
      <c r="J57">
        <v>7200000</v>
      </c>
      <c r="K57" t="s">
        <v>27</v>
      </c>
    </row>
    <row r="58" spans="1:11" x14ac:dyDescent="0.3">
      <c r="A58">
        <v>44983</v>
      </c>
      <c r="B58" t="s">
        <v>10</v>
      </c>
      <c r="C58" t="s">
        <v>11</v>
      </c>
      <c r="D58">
        <v>2</v>
      </c>
      <c r="E58">
        <v>9000000</v>
      </c>
      <c r="F58">
        <v>5</v>
      </c>
      <c r="G58">
        <v>1539000</v>
      </c>
      <c r="H58">
        <v>17100000</v>
      </c>
      <c r="I58">
        <v>14400000</v>
      </c>
      <c r="J58">
        <v>2700000</v>
      </c>
      <c r="K58" t="s">
        <v>27</v>
      </c>
    </row>
    <row r="59" spans="1:11" x14ac:dyDescent="0.3">
      <c r="A59">
        <v>44984</v>
      </c>
      <c r="B59" t="s">
        <v>12</v>
      </c>
      <c r="C59" t="s">
        <v>17</v>
      </c>
      <c r="D59">
        <v>2</v>
      </c>
      <c r="E59">
        <v>17000000</v>
      </c>
      <c r="F59">
        <v>5</v>
      </c>
      <c r="G59">
        <v>2907000</v>
      </c>
      <c r="H59">
        <v>32300000</v>
      </c>
      <c r="I59">
        <v>27200000</v>
      </c>
      <c r="J59">
        <v>5100000</v>
      </c>
      <c r="K59" t="s">
        <v>27</v>
      </c>
    </row>
    <row r="60" spans="1:11" x14ac:dyDescent="0.3">
      <c r="A60">
        <v>44985</v>
      </c>
      <c r="B60" t="s">
        <v>15</v>
      </c>
      <c r="C60" t="s">
        <v>11</v>
      </c>
      <c r="D60">
        <v>4</v>
      </c>
      <c r="E60">
        <v>18000000</v>
      </c>
      <c r="F60">
        <v>2</v>
      </c>
      <c r="G60">
        <v>3175200</v>
      </c>
      <c r="H60">
        <v>70560000</v>
      </c>
      <c r="I60">
        <v>57600000</v>
      </c>
      <c r="J60">
        <v>12960000</v>
      </c>
      <c r="K60" t="s">
        <v>27</v>
      </c>
    </row>
    <row r="61" spans="1:11" x14ac:dyDescent="0.3">
      <c r="A61">
        <v>44986</v>
      </c>
      <c r="B61" t="s">
        <v>12</v>
      </c>
      <c r="C61" t="s">
        <v>11</v>
      </c>
      <c r="D61">
        <v>3</v>
      </c>
      <c r="E61">
        <v>17000000</v>
      </c>
      <c r="F61">
        <v>6</v>
      </c>
      <c r="G61">
        <v>2876400</v>
      </c>
      <c r="H61">
        <v>47940000</v>
      </c>
      <c r="I61">
        <v>40800000</v>
      </c>
      <c r="J61">
        <v>7140000</v>
      </c>
      <c r="K61" t="s">
        <v>28</v>
      </c>
    </row>
    <row r="62" spans="1:11" x14ac:dyDescent="0.3">
      <c r="A62">
        <v>44987</v>
      </c>
      <c r="B62" t="s">
        <v>12</v>
      </c>
      <c r="C62" t="s">
        <v>18</v>
      </c>
      <c r="D62">
        <v>1</v>
      </c>
      <c r="E62">
        <v>17000000</v>
      </c>
      <c r="F62">
        <v>3</v>
      </c>
      <c r="G62">
        <v>2968200</v>
      </c>
      <c r="H62">
        <v>16490000</v>
      </c>
      <c r="I62">
        <v>13600000</v>
      </c>
      <c r="J62">
        <v>2890000</v>
      </c>
      <c r="K62" t="s">
        <v>28</v>
      </c>
    </row>
    <row r="63" spans="1:11" x14ac:dyDescent="0.3">
      <c r="A63">
        <v>44988</v>
      </c>
      <c r="B63" t="s">
        <v>12</v>
      </c>
      <c r="C63" t="s">
        <v>17</v>
      </c>
      <c r="D63">
        <v>2</v>
      </c>
      <c r="E63">
        <v>17000000</v>
      </c>
      <c r="F63">
        <v>3</v>
      </c>
      <c r="G63">
        <v>2968200</v>
      </c>
      <c r="H63">
        <v>32980000</v>
      </c>
      <c r="I63">
        <v>27200000</v>
      </c>
      <c r="J63">
        <v>5780000</v>
      </c>
      <c r="K63" t="s">
        <v>28</v>
      </c>
    </row>
    <row r="64" spans="1:11" x14ac:dyDescent="0.3">
      <c r="A64">
        <v>44989</v>
      </c>
      <c r="B64" t="s">
        <v>16</v>
      </c>
      <c r="C64" t="s">
        <v>17</v>
      </c>
      <c r="D64">
        <v>4</v>
      </c>
      <c r="E64">
        <v>16000000</v>
      </c>
      <c r="F64">
        <v>2</v>
      </c>
      <c r="G64">
        <v>2822400</v>
      </c>
      <c r="H64">
        <v>62720000</v>
      </c>
      <c r="I64">
        <v>51200000</v>
      </c>
      <c r="J64">
        <v>11520000</v>
      </c>
      <c r="K64" t="s">
        <v>28</v>
      </c>
    </row>
    <row r="65" spans="1:11" x14ac:dyDescent="0.3">
      <c r="A65">
        <v>44990</v>
      </c>
      <c r="B65" t="s">
        <v>15</v>
      </c>
      <c r="C65" t="s">
        <v>11</v>
      </c>
      <c r="D65">
        <v>2</v>
      </c>
      <c r="E65">
        <v>18000000</v>
      </c>
      <c r="F65">
        <v>5</v>
      </c>
      <c r="G65">
        <v>3078000</v>
      </c>
      <c r="H65">
        <v>34200000</v>
      </c>
      <c r="I65">
        <v>28800000</v>
      </c>
      <c r="J65">
        <v>5400000</v>
      </c>
      <c r="K65" t="s">
        <v>28</v>
      </c>
    </row>
    <row r="66" spans="1:11" x14ac:dyDescent="0.3">
      <c r="A66">
        <v>44991</v>
      </c>
      <c r="B66" t="s">
        <v>15</v>
      </c>
      <c r="C66" t="s">
        <v>18</v>
      </c>
      <c r="D66">
        <v>1</v>
      </c>
      <c r="E66">
        <v>18000000</v>
      </c>
      <c r="F66">
        <v>6</v>
      </c>
      <c r="G66">
        <v>3045600</v>
      </c>
      <c r="H66">
        <v>16920000</v>
      </c>
      <c r="I66">
        <v>14400000</v>
      </c>
      <c r="J66">
        <v>2520000</v>
      </c>
      <c r="K66" t="s">
        <v>28</v>
      </c>
    </row>
    <row r="67" spans="1:11" x14ac:dyDescent="0.3">
      <c r="A67">
        <v>44992</v>
      </c>
      <c r="B67" t="s">
        <v>16</v>
      </c>
      <c r="C67" t="s">
        <v>11</v>
      </c>
      <c r="D67">
        <v>1</v>
      </c>
      <c r="E67">
        <v>16000000</v>
      </c>
      <c r="F67">
        <v>5</v>
      </c>
      <c r="G67">
        <v>2736000</v>
      </c>
      <c r="H67">
        <v>15200000</v>
      </c>
      <c r="I67">
        <v>12800000</v>
      </c>
      <c r="J67">
        <v>2400000</v>
      </c>
      <c r="K67" t="s">
        <v>28</v>
      </c>
    </row>
    <row r="68" spans="1:11" x14ac:dyDescent="0.3">
      <c r="A68">
        <v>44993</v>
      </c>
      <c r="B68" t="s">
        <v>19</v>
      </c>
      <c r="C68" t="s">
        <v>18</v>
      </c>
      <c r="D68">
        <v>4</v>
      </c>
      <c r="E68">
        <v>15000000</v>
      </c>
      <c r="F68">
        <v>2</v>
      </c>
      <c r="G68">
        <v>2646000</v>
      </c>
      <c r="H68">
        <v>58800000</v>
      </c>
      <c r="I68">
        <v>48000000</v>
      </c>
      <c r="J68">
        <v>10800000</v>
      </c>
      <c r="K68" t="s">
        <v>28</v>
      </c>
    </row>
    <row r="69" spans="1:11" x14ac:dyDescent="0.3">
      <c r="A69">
        <v>44994</v>
      </c>
      <c r="B69" t="s">
        <v>16</v>
      </c>
      <c r="C69" t="s">
        <v>11</v>
      </c>
      <c r="D69">
        <v>2</v>
      </c>
      <c r="E69">
        <v>16000000</v>
      </c>
      <c r="F69">
        <v>5</v>
      </c>
      <c r="G69">
        <v>2736000</v>
      </c>
      <c r="H69">
        <v>30400000</v>
      </c>
      <c r="I69">
        <v>25600000</v>
      </c>
      <c r="J69">
        <v>4800000</v>
      </c>
      <c r="K69" t="s">
        <v>28</v>
      </c>
    </row>
    <row r="70" spans="1:11" x14ac:dyDescent="0.3">
      <c r="A70">
        <v>44995</v>
      </c>
      <c r="B70" t="s">
        <v>15</v>
      </c>
      <c r="C70" t="s">
        <v>11</v>
      </c>
      <c r="D70">
        <v>2</v>
      </c>
      <c r="E70">
        <v>18000000</v>
      </c>
      <c r="F70">
        <v>6</v>
      </c>
      <c r="G70">
        <v>3045600</v>
      </c>
      <c r="H70">
        <v>33840000</v>
      </c>
      <c r="I70">
        <v>28800000</v>
      </c>
      <c r="J70">
        <v>5040000</v>
      </c>
      <c r="K70" t="s">
        <v>28</v>
      </c>
    </row>
    <row r="71" spans="1:11" x14ac:dyDescent="0.3">
      <c r="A71">
        <v>44996</v>
      </c>
      <c r="B71" t="s">
        <v>12</v>
      </c>
      <c r="C71" t="s">
        <v>18</v>
      </c>
      <c r="D71">
        <v>2</v>
      </c>
      <c r="E71">
        <v>17000000</v>
      </c>
      <c r="F71">
        <v>4</v>
      </c>
      <c r="G71">
        <v>2937600</v>
      </c>
      <c r="H71">
        <v>32640000</v>
      </c>
      <c r="I71">
        <v>27200000</v>
      </c>
      <c r="J71">
        <v>5440000</v>
      </c>
      <c r="K71" t="s">
        <v>28</v>
      </c>
    </row>
    <row r="72" spans="1:11" x14ac:dyDescent="0.3">
      <c r="A72">
        <v>44997</v>
      </c>
      <c r="B72" t="s">
        <v>19</v>
      </c>
      <c r="C72" t="s">
        <v>13</v>
      </c>
      <c r="D72">
        <v>1</v>
      </c>
      <c r="E72">
        <v>15000000</v>
      </c>
      <c r="F72">
        <v>3</v>
      </c>
      <c r="G72">
        <v>2619000</v>
      </c>
      <c r="H72">
        <v>14550000</v>
      </c>
      <c r="I72">
        <v>12000000</v>
      </c>
      <c r="J72">
        <v>2550000</v>
      </c>
      <c r="K72" t="s">
        <v>28</v>
      </c>
    </row>
    <row r="73" spans="1:11" x14ac:dyDescent="0.3">
      <c r="A73">
        <v>44998</v>
      </c>
      <c r="B73" t="s">
        <v>15</v>
      </c>
      <c r="C73" t="s">
        <v>14</v>
      </c>
      <c r="D73">
        <v>1</v>
      </c>
      <c r="E73">
        <v>18000000</v>
      </c>
      <c r="F73">
        <v>4</v>
      </c>
      <c r="G73">
        <v>3110400</v>
      </c>
      <c r="H73">
        <v>17280000</v>
      </c>
      <c r="I73">
        <v>14400000</v>
      </c>
      <c r="J73">
        <v>2880000</v>
      </c>
      <c r="K73" t="s">
        <v>28</v>
      </c>
    </row>
    <row r="74" spans="1:11" x14ac:dyDescent="0.3">
      <c r="A74">
        <v>44999</v>
      </c>
      <c r="B74" t="s">
        <v>15</v>
      </c>
      <c r="C74" t="s">
        <v>13</v>
      </c>
      <c r="D74">
        <v>1</v>
      </c>
      <c r="E74">
        <v>18000000</v>
      </c>
      <c r="F74">
        <v>3</v>
      </c>
      <c r="G74">
        <v>3142800</v>
      </c>
      <c r="H74">
        <v>17460000</v>
      </c>
      <c r="I74">
        <v>14400000</v>
      </c>
      <c r="J74">
        <v>3060000</v>
      </c>
      <c r="K74" t="s">
        <v>28</v>
      </c>
    </row>
    <row r="75" spans="1:11" x14ac:dyDescent="0.3">
      <c r="A75">
        <v>45000</v>
      </c>
      <c r="B75" t="s">
        <v>16</v>
      </c>
      <c r="C75" t="s">
        <v>18</v>
      </c>
      <c r="D75">
        <v>2</v>
      </c>
      <c r="E75">
        <v>16000000</v>
      </c>
      <c r="F75">
        <v>6</v>
      </c>
      <c r="G75">
        <v>2707200</v>
      </c>
      <c r="H75">
        <v>30080000</v>
      </c>
      <c r="I75">
        <v>25600000</v>
      </c>
      <c r="J75">
        <v>4480000</v>
      </c>
      <c r="K75" t="s">
        <v>28</v>
      </c>
    </row>
    <row r="76" spans="1:11" x14ac:dyDescent="0.3">
      <c r="A76">
        <v>45001</v>
      </c>
      <c r="B76" t="s">
        <v>16</v>
      </c>
      <c r="C76" t="s">
        <v>14</v>
      </c>
      <c r="D76">
        <v>1</v>
      </c>
      <c r="E76">
        <v>16000000</v>
      </c>
      <c r="F76">
        <v>3</v>
      </c>
      <c r="G76">
        <v>2793600</v>
      </c>
      <c r="H76">
        <v>15520000</v>
      </c>
      <c r="I76">
        <v>12800000</v>
      </c>
      <c r="J76">
        <v>2720000</v>
      </c>
      <c r="K76" t="s">
        <v>28</v>
      </c>
    </row>
    <row r="77" spans="1:11" x14ac:dyDescent="0.3">
      <c r="A77">
        <v>45002</v>
      </c>
      <c r="B77" t="s">
        <v>15</v>
      </c>
      <c r="C77" t="s">
        <v>17</v>
      </c>
      <c r="D77">
        <v>4</v>
      </c>
      <c r="E77">
        <v>18000000</v>
      </c>
      <c r="F77">
        <v>6</v>
      </c>
      <c r="G77">
        <v>3045600</v>
      </c>
      <c r="H77">
        <v>67680000</v>
      </c>
      <c r="I77">
        <v>57600000</v>
      </c>
      <c r="J77">
        <v>10080000</v>
      </c>
      <c r="K77" t="s">
        <v>28</v>
      </c>
    </row>
    <row r="78" spans="1:11" x14ac:dyDescent="0.3">
      <c r="A78">
        <v>45003</v>
      </c>
      <c r="B78" t="s">
        <v>10</v>
      </c>
      <c r="C78" t="s">
        <v>14</v>
      </c>
      <c r="D78">
        <v>1</v>
      </c>
      <c r="E78">
        <v>9000000</v>
      </c>
      <c r="F78">
        <v>2</v>
      </c>
      <c r="G78">
        <v>1587600</v>
      </c>
      <c r="H78">
        <v>8820000</v>
      </c>
      <c r="I78">
        <v>7200000</v>
      </c>
      <c r="J78">
        <v>1620000</v>
      </c>
      <c r="K78" t="s">
        <v>28</v>
      </c>
    </row>
    <row r="79" spans="1:11" x14ac:dyDescent="0.3">
      <c r="A79">
        <v>45004</v>
      </c>
      <c r="B79" t="s">
        <v>12</v>
      </c>
      <c r="C79" t="s">
        <v>11</v>
      </c>
      <c r="D79">
        <v>3</v>
      </c>
      <c r="E79">
        <v>17000000</v>
      </c>
      <c r="F79">
        <v>3</v>
      </c>
      <c r="G79">
        <v>2968200</v>
      </c>
      <c r="H79">
        <v>49470000</v>
      </c>
      <c r="I79">
        <v>40800000</v>
      </c>
      <c r="J79">
        <v>8670000</v>
      </c>
      <c r="K79" t="s">
        <v>28</v>
      </c>
    </row>
    <row r="80" spans="1:11" x14ac:dyDescent="0.3">
      <c r="A80">
        <v>45005</v>
      </c>
      <c r="B80" t="s">
        <v>15</v>
      </c>
      <c r="C80" t="s">
        <v>18</v>
      </c>
      <c r="D80">
        <v>4</v>
      </c>
      <c r="E80">
        <v>18000000</v>
      </c>
      <c r="F80">
        <v>2</v>
      </c>
      <c r="G80">
        <v>3175200</v>
      </c>
      <c r="H80">
        <v>70560000</v>
      </c>
      <c r="I80">
        <v>57600000</v>
      </c>
      <c r="J80">
        <v>12960000</v>
      </c>
      <c r="K80" t="s">
        <v>28</v>
      </c>
    </row>
    <row r="81" spans="1:11" x14ac:dyDescent="0.3">
      <c r="A81">
        <v>45006</v>
      </c>
      <c r="B81" t="s">
        <v>15</v>
      </c>
      <c r="C81" t="s">
        <v>14</v>
      </c>
      <c r="D81">
        <v>3</v>
      </c>
      <c r="E81">
        <v>18000000</v>
      </c>
      <c r="F81">
        <v>5</v>
      </c>
      <c r="G81">
        <v>3078000</v>
      </c>
      <c r="H81">
        <v>51300000</v>
      </c>
      <c r="I81">
        <v>43200000</v>
      </c>
      <c r="J81">
        <v>8100000</v>
      </c>
      <c r="K81" t="s">
        <v>28</v>
      </c>
    </row>
    <row r="82" spans="1:11" x14ac:dyDescent="0.3">
      <c r="A82">
        <v>45007</v>
      </c>
      <c r="B82" t="s">
        <v>19</v>
      </c>
      <c r="C82" t="s">
        <v>18</v>
      </c>
      <c r="D82">
        <v>4</v>
      </c>
      <c r="E82">
        <v>15000000</v>
      </c>
      <c r="F82">
        <v>2</v>
      </c>
      <c r="G82">
        <v>2646000</v>
      </c>
      <c r="H82">
        <v>58800000</v>
      </c>
      <c r="I82">
        <v>48000000</v>
      </c>
      <c r="J82">
        <v>10800000</v>
      </c>
      <c r="K82" t="s">
        <v>28</v>
      </c>
    </row>
    <row r="83" spans="1:11" x14ac:dyDescent="0.3">
      <c r="A83">
        <v>45008</v>
      </c>
      <c r="B83" t="s">
        <v>15</v>
      </c>
      <c r="C83" t="s">
        <v>17</v>
      </c>
      <c r="D83">
        <v>2</v>
      </c>
      <c r="E83">
        <v>18000000</v>
      </c>
      <c r="F83">
        <v>4</v>
      </c>
      <c r="G83">
        <v>3110400</v>
      </c>
      <c r="H83">
        <v>34560000</v>
      </c>
      <c r="I83">
        <v>28800000</v>
      </c>
      <c r="J83">
        <v>5760000</v>
      </c>
      <c r="K83" t="s">
        <v>28</v>
      </c>
    </row>
    <row r="84" spans="1:11" x14ac:dyDescent="0.3">
      <c r="A84">
        <v>45009</v>
      </c>
      <c r="B84" t="s">
        <v>12</v>
      </c>
      <c r="C84" t="s">
        <v>18</v>
      </c>
      <c r="D84">
        <v>1</v>
      </c>
      <c r="E84">
        <v>17000000</v>
      </c>
      <c r="F84">
        <v>4</v>
      </c>
      <c r="G84">
        <v>2937600</v>
      </c>
      <c r="H84">
        <v>16320000</v>
      </c>
      <c r="I84">
        <v>13600000</v>
      </c>
      <c r="J84">
        <v>2720000</v>
      </c>
      <c r="K84" t="s">
        <v>28</v>
      </c>
    </row>
    <row r="85" spans="1:11" x14ac:dyDescent="0.3">
      <c r="A85">
        <v>45010</v>
      </c>
      <c r="B85" t="s">
        <v>12</v>
      </c>
      <c r="C85" t="s">
        <v>14</v>
      </c>
      <c r="D85">
        <v>3</v>
      </c>
      <c r="E85">
        <v>17000000</v>
      </c>
      <c r="F85">
        <v>4</v>
      </c>
      <c r="G85">
        <v>2937600</v>
      </c>
      <c r="H85">
        <v>48960000</v>
      </c>
      <c r="I85">
        <v>40800000</v>
      </c>
      <c r="J85">
        <v>8160000</v>
      </c>
      <c r="K85" t="s">
        <v>28</v>
      </c>
    </row>
    <row r="86" spans="1:11" x14ac:dyDescent="0.3">
      <c r="A86">
        <v>45011</v>
      </c>
      <c r="B86" t="s">
        <v>19</v>
      </c>
      <c r="C86" t="s">
        <v>14</v>
      </c>
      <c r="D86">
        <v>2</v>
      </c>
      <c r="E86">
        <v>15000000</v>
      </c>
      <c r="F86">
        <v>2</v>
      </c>
      <c r="G86">
        <v>2646000</v>
      </c>
      <c r="H86">
        <v>29400000</v>
      </c>
      <c r="I86">
        <v>24000000</v>
      </c>
      <c r="J86">
        <v>5400000</v>
      </c>
      <c r="K86" t="s">
        <v>28</v>
      </c>
    </row>
    <row r="87" spans="1:11" x14ac:dyDescent="0.3">
      <c r="A87">
        <v>45012</v>
      </c>
      <c r="B87" t="s">
        <v>15</v>
      </c>
      <c r="C87" t="s">
        <v>13</v>
      </c>
      <c r="D87">
        <v>3</v>
      </c>
      <c r="E87">
        <v>18000000</v>
      </c>
      <c r="F87">
        <v>5</v>
      </c>
      <c r="G87">
        <v>3078000</v>
      </c>
      <c r="H87">
        <v>51300000</v>
      </c>
      <c r="I87">
        <v>43200000</v>
      </c>
      <c r="J87">
        <v>8100000</v>
      </c>
      <c r="K87" t="s">
        <v>28</v>
      </c>
    </row>
    <row r="88" spans="1:11" x14ac:dyDescent="0.3">
      <c r="A88">
        <v>45013</v>
      </c>
      <c r="B88" t="s">
        <v>10</v>
      </c>
      <c r="C88" t="s">
        <v>13</v>
      </c>
      <c r="D88">
        <v>1</v>
      </c>
      <c r="E88">
        <v>9000000</v>
      </c>
      <c r="F88">
        <v>6</v>
      </c>
      <c r="G88">
        <v>1522800</v>
      </c>
      <c r="H88">
        <v>8460000</v>
      </c>
      <c r="I88">
        <v>7200000</v>
      </c>
      <c r="J88">
        <v>1260000</v>
      </c>
      <c r="K88" t="s">
        <v>28</v>
      </c>
    </row>
    <row r="89" spans="1:11" x14ac:dyDescent="0.3">
      <c r="A89">
        <v>45014</v>
      </c>
      <c r="B89" t="s">
        <v>19</v>
      </c>
      <c r="C89" t="s">
        <v>11</v>
      </c>
      <c r="D89">
        <v>3</v>
      </c>
      <c r="E89">
        <v>15000000</v>
      </c>
      <c r="F89">
        <v>2</v>
      </c>
      <c r="G89">
        <v>2646000</v>
      </c>
      <c r="H89">
        <v>44100000</v>
      </c>
      <c r="I89">
        <v>36000000</v>
      </c>
      <c r="J89">
        <v>8100000</v>
      </c>
      <c r="K89" t="s">
        <v>28</v>
      </c>
    </row>
    <row r="90" spans="1:11" x14ac:dyDescent="0.3">
      <c r="A90">
        <v>45015</v>
      </c>
      <c r="B90" t="s">
        <v>15</v>
      </c>
      <c r="C90" t="s">
        <v>18</v>
      </c>
      <c r="D90">
        <v>2</v>
      </c>
      <c r="E90">
        <v>18000000</v>
      </c>
      <c r="F90">
        <v>2</v>
      </c>
      <c r="G90">
        <v>3175200</v>
      </c>
      <c r="H90">
        <v>35280000</v>
      </c>
      <c r="I90">
        <v>28800000</v>
      </c>
      <c r="J90">
        <v>6480000</v>
      </c>
      <c r="K90" t="s">
        <v>28</v>
      </c>
    </row>
    <row r="91" spans="1:11" x14ac:dyDescent="0.3">
      <c r="A91">
        <v>45016</v>
      </c>
      <c r="B91" t="s">
        <v>16</v>
      </c>
      <c r="C91" t="s">
        <v>14</v>
      </c>
      <c r="D91">
        <v>3</v>
      </c>
      <c r="E91">
        <v>16000000</v>
      </c>
      <c r="F91">
        <v>5</v>
      </c>
      <c r="G91">
        <v>2736000</v>
      </c>
      <c r="H91">
        <v>45600000</v>
      </c>
      <c r="I91">
        <v>38400000</v>
      </c>
      <c r="J91">
        <v>7200000</v>
      </c>
      <c r="K91" t="s">
        <v>28</v>
      </c>
    </row>
    <row r="92" spans="1:11" x14ac:dyDescent="0.3">
      <c r="A92">
        <v>45017</v>
      </c>
      <c r="B92" t="s">
        <v>19</v>
      </c>
      <c r="C92" t="s">
        <v>18</v>
      </c>
      <c r="D92">
        <v>1</v>
      </c>
      <c r="E92">
        <v>15000000</v>
      </c>
      <c r="F92">
        <v>6</v>
      </c>
      <c r="G92">
        <v>2538000</v>
      </c>
      <c r="H92">
        <v>14100000</v>
      </c>
      <c r="I92">
        <v>12000000</v>
      </c>
      <c r="J92">
        <v>2100000</v>
      </c>
      <c r="K92" t="s">
        <v>29</v>
      </c>
    </row>
    <row r="93" spans="1:11" x14ac:dyDescent="0.3">
      <c r="A93">
        <v>45018</v>
      </c>
      <c r="B93" t="s">
        <v>12</v>
      </c>
      <c r="C93" t="s">
        <v>14</v>
      </c>
      <c r="D93">
        <v>2</v>
      </c>
      <c r="E93">
        <v>17000000</v>
      </c>
      <c r="F93">
        <v>6</v>
      </c>
      <c r="G93">
        <v>2876400</v>
      </c>
      <c r="H93">
        <v>31960000</v>
      </c>
      <c r="I93">
        <v>27200000</v>
      </c>
      <c r="J93">
        <v>4760000</v>
      </c>
      <c r="K93" t="s">
        <v>29</v>
      </c>
    </row>
    <row r="94" spans="1:11" x14ac:dyDescent="0.3">
      <c r="A94">
        <v>45019</v>
      </c>
      <c r="B94" t="s">
        <v>12</v>
      </c>
      <c r="C94" t="s">
        <v>13</v>
      </c>
      <c r="D94">
        <v>1</v>
      </c>
      <c r="E94">
        <v>17000000</v>
      </c>
      <c r="F94">
        <v>6</v>
      </c>
      <c r="G94">
        <v>2876400</v>
      </c>
      <c r="H94">
        <v>15980000</v>
      </c>
      <c r="I94">
        <v>13600000</v>
      </c>
      <c r="J94">
        <v>2380000</v>
      </c>
      <c r="K94" t="s">
        <v>29</v>
      </c>
    </row>
    <row r="95" spans="1:11" x14ac:dyDescent="0.3">
      <c r="A95">
        <v>45020</v>
      </c>
      <c r="B95" t="s">
        <v>19</v>
      </c>
      <c r="C95" t="s">
        <v>18</v>
      </c>
      <c r="D95">
        <v>3</v>
      </c>
      <c r="E95">
        <v>15000000</v>
      </c>
      <c r="F95">
        <v>3</v>
      </c>
      <c r="G95">
        <v>2619000</v>
      </c>
      <c r="H95">
        <v>43650000</v>
      </c>
      <c r="I95">
        <v>36000000</v>
      </c>
      <c r="J95">
        <v>7650000</v>
      </c>
      <c r="K95" t="s">
        <v>29</v>
      </c>
    </row>
    <row r="96" spans="1:11" x14ac:dyDescent="0.3">
      <c r="A96">
        <v>45021</v>
      </c>
      <c r="B96" t="s">
        <v>12</v>
      </c>
      <c r="C96" t="s">
        <v>14</v>
      </c>
      <c r="D96">
        <v>2</v>
      </c>
      <c r="E96">
        <v>17000000</v>
      </c>
      <c r="F96">
        <v>5</v>
      </c>
      <c r="G96">
        <v>2907000</v>
      </c>
      <c r="H96">
        <v>32300000</v>
      </c>
      <c r="I96">
        <v>27200000</v>
      </c>
      <c r="J96">
        <v>5100000</v>
      </c>
      <c r="K96" t="s">
        <v>29</v>
      </c>
    </row>
    <row r="97" spans="1:11" x14ac:dyDescent="0.3">
      <c r="A97">
        <v>45022</v>
      </c>
      <c r="B97" t="s">
        <v>15</v>
      </c>
      <c r="C97" t="s">
        <v>13</v>
      </c>
      <c r="D97">
        <v>4</v>
      </c>
      <c r="E97">
        <v>18000000</v>
      </c>
      <c r="F97">
        <v>2</v>
      </c>
      <c r="G97">
        <v>3175200</v>
      </c>
      <c r="H97">
        <v>70560000</v>
      </c>
      <c r="I97">
        <v>57600000</v>
      </c>
      <c r="J97">
        <v>12960000</v>
      </c>
      <c r="K97" t="s">
        <v>29</v>
      </c>
    </row>
    <row r="98" spans="1:11" x14ac:dyDescent="0.3">
      <c r="A98">
        <v>45023</v>
      </c>
      <c r="B98" t="s">
        <v>12</v>
      </c>
      <c r="C98" t="s">
        <v>13</v>
      </c>
      <c r="D98">
        <v>3</v>
      </c>
      <c r="E98">
        <v>17000000</v>
      </c>
      <c r="F98">
        <v>6</v>
      </c>
      <c r="G98">
        <v>2876400</v>
      </c>
      <c r="H98">
        <v>47940000</v>
      </c>
      <c r="I98">
        <v>40800000</v>
      </c>
      <c r="J98">
        <v>7140000</v>
      </c>
      <c r="K98" t="s">
        <v>29</v>
      </c>
    </row>
    <row r="99" spans="1:11" x14ac:dyDescent="0.3">
      <c r="A99">
        <v>45024</v>
      </c>
      <c r="B99" t="s">
        <v>16</v>
      </c>
      <c r="C99" t="s">
        <v>17</v>
      </c>
      <c r="D99">
        <v>3</v>
      </c>
      <c r="E99">
        <v>16000000</v>
      </c>
      <c r="F99">
        <v>5</v>
      </c>
      <c r="G99">
        <v>2736000</v>
      </c>
      <c r="H99">
        <v>45600000</v>
      </c>
      <c r="I99">
        <v>38400000</v>
      </c>
      <c r="J99">
        <v>7200000</v>
      </c>
      <c r="K99" t="s">
        <v>29</v>
      </c>
    </row>
    <row r="100" spans="1:11" x14ac:dyDescent="0.3">
      <c r="A100">
        <v>45025</v>
      </c>
      <c r="B100" t="s">
        <v>12</v>
      </c>
      <c r="C100" t="s">
        <v>14</v>
      </c>
      <c r="D100">
        <v>1</v>
      </c>
      <c r="E100">
        <v>17000000</v>
      </c>
      <c r="F100">
        <v>2</v>
      </c>
      <c r="G100">
        <v>2998800</v>
      </c>
      <c r="H100">
        <v>16660000</v>
      </c>
      <c r="I100">
        <v>13600000</v>
      </c>
      <c r="J100">
        <v>3060000</v>
      </c>
      <c r="K100" t="s">
        <v>29</v>
      </c>
    </row>
    <row r="101" spans="1:11" x14ac:dyDescent="0.3">
      <c r="A101">
        <v>45026</v>
      </c>
      <c r="B101" t="s">
        <v>15</v>
      </c>
      <c r="C101" t="s">
        <v>17</v>
      </c>
      <c r="D101">
        <v>2</v>
      </c>
      <c r="E101">
        <v>18000000</v>
      </c>
      <c r="F101">
        <v>5</v>
      </c>
      <c r="G101">
        <v>3078000</v>
      </c>
      <c r="H101">
        <v>34200000</v>
      </c>
      <c r="I101">
        <v>28800000</v>
      </c>
      <c r="J101">
        <v>5400000</v>
      </c>
      <c r="K101" t="s">
        <v>29</v>
      </c>
    </row>
    <row r="102" spans="1:11" x14ac:dyDescent="0.3">
      <c r="A102">
        <v>45027</v>
      </c>
      <c r="B102" t="s">
        <v>16</v>
      </c>
      <c r="C102" t="s">
        <v>14</v>
      </c>
      <c r="D102">
        <v>2</v>
      </c>
      <c r="E102">
        <v>16000000</v>
      </c>
      <c r="F102">
        <v>4</v>
      </c>
      <c r="G102">
        <v>2764800</v>
      </c>
      <c r="H102">
        <v>30720000</v>
      </c>
      <c r="I102">
        <v>25600000</v>
      </c>
      <c r="J102">
        <v>5120000</v>
      </c>
      <c r="K102" t="s">
        <v>29</v>
      </c>
    </row>
    <row r="103" spans="1:11" x14ac:dyDescent="0.3">
      <c r="A103">
        <v>45028</v>
      </c>
      <c r="B103" t="s">
        <v>12</v>
      </c>
      <c r="C103" t="s">
        <v>11</v>
      </c>
      <c r="D103">
        <v>2</v>
      </c>
      <c r="E103">
        <v>17000000</v>
      </c>
      <c r="F103">
        <v>5</v>
      </c>
      <c r="G103">
        <v>2907000</v>
      </c>
      <c r="H103">
        <v>32300000</v>
      </c>
      <c r="I103">
        <v>27200000</v>
      </c>
      <c r="J103">
        <v>5100000</v>
      </c>
      <c r="K103" t="s">
        <v>29</v>
      </c>
    </row>
    <row r="104" spans="1:11" x14ac:dyDescent="0.3">
      <c r="A104">
        <v>45029</v>
      </c>
      <c r="B104" t="s">
        <v>10</v>
      </c>
      <c r="C104" t="s">
        <v>17</v>
      </c>
      <c r="D104">
        <v>4</v>
      </c>
      <c r="E104">
        <v>9000000</v>
      </c>
      <c r="F104">
        <v>6</v>
      </c>
      <c r="G104">
        <v>1522800</v>
      </c>
      <c r="H104">
        <v>33840000</v>
      </c>
      <c r="I104">
        <v>28800000</v>
      </c>
      <c r="J104">
        <v>5040000</v>
      </c>
      <c r="K104" t="s">
        <v>29</v>
      </c>
    </row>
    <row r="105" spans="1:11" x14ac:dyDescent="0.3">
      <c r="A105">
        <v>45030</v>
      </c>
      <c r="B105" t="s">
        <v>12</v>
      </c>
      <c r="C105" t="s">
        <v>17</v>
      </c>
      <c r="D105">
        <v>4</v>
      </c>
      <c r="E105">
        <v>17000000</v>
      </c>
      <c r="F105">
        <v>2</v>
      </c>
      <c r="G105">
        <v>2998800</v>
      </c>
      <c r="H105">
        <v>66640000</v>
      </c>
      <c r="I105">
        <v>54400000</v>
      </c>
      <c r="J105">
        <v>12240000</v>
      </c>
      <c r="K105" t="s">
        <v>29</v>
      </c>
    </row>
    <row r="106" spans="1:11" x14ac:dyDescent="0.3">
      <c r="A106">
        <v>45031</v>
      </c>
      <c r="B106" t="s">
        <v>10</v>
      </c>
      <c r="C106" t="s">
        <v>13</v>
      </c>
      <c r="D106">
        <v>1</v>
      </c>
      <c r="E106">
        <v>9000000</v>
      </c>
      <c r="F106">
        <v>3</v>
      </c>
      <c r="G106">
        <v>1571400</v>
      </c>
      <c r="H106">
        <v>8730000</v>
      </c>
      <c r="I106">
        <v>7200000</v>
      </c>
      <c r="J106">
        <v>1530000</v>
      </c>
      <c r="K106" t="s">
        <v>29</v>
      </c>
    </row>
    <row r="107" spans="1:11" x14ac:dyDescent="0.3">
      <c r="A107">
        <v>45032</v>
      </c>
      <c r="B107" t="s">
        <v>12</v>
      </c>
      <c r="C107" t="s">
        <v>18</v>
      </c>
      <c r="D107">
        <v>1</v>
      </c>
      <c r="E107">
        <v>17000000</v>
      </c>
      <c r="F107">
        <v>2</v>
      </c>
      <c r="G107">
        <v>2998800</v>
      </c>
      <c r="H107">
        <v>16660000</v>
      </c>
      <c r="I107">
        <v>13600000</v>
      </c>
      <c r="J107">
        <v>3060000</v>
      </c>
      <c r="K107" t="s">
        <v>29</v>
      </c>
    </row>
    <row r="108" spans="1:11" x14ac:dyDescent="0.3">
      <c r="A108">
        <v>45033</v>
      </c>
      <c r="B108" t="s">
        <v>16</v>
      </c>
      <c r="C108" t="s">
        <v>18</v>
      </c>
      <c r="D108">
        <v>1</v>
      </c>
      <c r="E108">
        <v>16000000</v>
      </c>
      <c r="F108">
        <v>2</v>
      </c>
      <c r="G108">
        <v>2822400</v>
      </c>
      <c r="H108">
        <v>15680000</v>
      </c>
      <c r="I108">
        <v>12800000</v>
      </c>
      <c r="J108">
        <v>2880000</v>
      </c>
      <c r="K108" t="s">
        <v>29</v>
      </c>
    </row>
    <row r="109" spans="1:11" x14ac:dyDescent="0.3">
      <c r="A109">
        <v>45034</v>
      </c>
      <c r="B109" t="s">
        <v>16</v>
      </c>
      <c r="C109" t="s">
        <v>18</v>
      </c>
      <c r="D109">
        <v>1</v>
      </c>
      <c r="E109">
        <v>16000000</v>
      </c>
      <c r="F109">
        <v>2</v>
      </c>
      <c r="G109">
        <v>2822400</v>
      </c>
      <c r="H109">
        <v>15680000</v>
      </c>
      <c r="I109">
        <v>12800000</v>
      </c>
      <c r="J109">
        <v>2880000</v>
      </c>
      <c r="K109" t="s">
        <v>29</v>
      </c>
    </row>
    <row r="110" spans="1:11" x14ac:dyDescent="0.3">
      <c r="A110">
        <v>45035</v>
      </c>
      <c r="B110" t="s">
        <v>15</v>
      </c>
      <c r="C110" t="s">
        <v>13</v>
      </c>
      <c r="D110">
        <v>3</v>
      </c>
      <c r="E110">
        <v>18000000</v>
      </c>
      <c r="F110">
        <v>2</v>
      </c>
      <c r="G110">
        <v>3175200</v>
      </c>
      <c r="H110">
        <v>52920000</v>
      </c>
      <c r="I110">
        <v>43200000</v>
      </c>
      <c r="J110">
        <v>9720000</v>
      </c>
      <c r="K110" t="s">
        <v>29</v>
      </c>
    </row>
    <row r="111" spans="1:11" x14ac:dyDescent="0.3">
      <c r="A111">
        <v>45036</v>
      </c>
      <c r="B111" t="s">
        <v>10</v>
      </c>
      <c r="C111" t="s">
        <v>11</v>
      </c>
      <c r="D111">
        <v>2</v>
      </c>
      <c r="E111">
        <v>9000000</v>
      </c>
      <c r="F111">
        <v>2</v>
      </c>
      <c r="G111">
        <v>1587600</v>
      </c>
      <c r="H111">
        <v>17640000</v>
      </c>
      <c r="I111">
        <v>14400000</v>
      </c>
      <c r="J111">
        <v>3240000</v>
      </c>
      <c r="K111" t="s">
        <v>29</v>
      </c>
    </row>
    <row r="112" spans="1:11" x14ac:dyDescent="0.3">
      <c r="A112">
        <v>45037</v>
      </c>
      <c r="B112" t="s">
        <v>15</v>
      </c>
      <c r="C112" t="s">
        <v>13</v>
      </c>
      <c r="D112">
        <v>4</v>
      </c>
      <c r="E112">
        <v>18000000</v>
      </c>
      <c r="F112">
        <v>6</v>
      </c>
      <c r="G112">
        <v>3045600</v>
      </c>
      <c r="H112">
        <v>67680000</v>
      </c>
      <c r="I112">
        <v>57600000</v>
      </c>
      <c r="J112">
        <v>10080000</v>
      </c>
      <c r="K112" t="s">
        <v>29</v>
      </c>
    </row>
    <row r="113" spans="1:11" x14ac:dyDescent="0.3">
      <c r="A113">
        <v>45038</v>
      </c>
      <c r="B113" t="s">
        <v>15</v>
      </c>
      <c r="C113" t="s">
        <v>18</v>
      </c>
      <c r="D113">
        <v>3</v>
      </c>
      <c r="E113">
        <v>18000000</v>
      </c>
      <c r="F113">
        <v>3</v>
      </c>
      <c r="G113">
        <v>3142800</v>
      </c>
      <c r="H113">
        <v>52380000</v>
      </c>
      <c r="I113">
        <v>43200000</v>
      </c>
      <c r="J113">
        <v>9180000</v>
      </c>
      <c r="K113" t="s">
        <v>29</v>
      </c>
    </row>
    <row r="114" spans="1:11" x14ac:dyDescent="0.3">
      <c r="A114">
        <v>45039</v>
      </c>
      <c r="B114" t="s">
        <v>19</v>
      </c>
      <c r="C114" t="s">
        <v>14</v>
      </c>
      <c r="D114">
        <v>3</v>
      </c>
      <c r="E114">
        <v>15000000</v>
      </c>
      <c r="F114">
        <v>4</v>
      </c>
      <c r="G114">
        <v>2592000</v>
      </c>
      <c r="H114">
        <v>43200000</v>
      </c>
      <c r="I114">
        <v>36000000</v>
      </c>
      <c r="J114">
        <v>7200000</v>
      </c>
      <c r="K114" t="s">
        <v>29</v>
      </c>
    </row>
    <row r="115" spans="1:11" x14ac:dyDescent="0.3">
      <c r="A115">
        <v>45040</v>
      </c>
      <c r="B115" t="s">
        <v>16</v>
      </c>
      <c r="C115" t="s">
        <v>14</v>
      </c>
      <c r="D115">
        <v>1</v>
      </c>
      <c r="E115">
        <v>16000000</v>
      </c>
      <c r="F115">
        <v>3</v>
      </c>
      <c r="G115">
        <v>2793600</v>
      </c>
      <c r="H115">
        <v>15520000</v>
      </c>
      <c r="I115">
        <v>12800000</v>
      </c>
      <c r="J115">
        <v>2720000</v>
      </c>
      <c r="K115" t="s">
        <v>29</v>
      </c>
    </row>
    <row r="116" spans="1:11" x14ac:dyDescent="0.3">
      <c r="A116">
        <v>45041</v>
      </c>
      <c r="B116" t="s">
        <v>10</v>
      </c>
      <c r="C116" t="s">
        <v>18</v>
      </c>
      <c r="D116">
        <v>3</v>
      </c>
      <c r="E116">
        <v>9000000</v>
      </c>
      <c r="F116">
        <v>2</v>
      </c>
      <c r="G116">
        <v>1587600</v>
      </c>
      <c r="H116">
        <v>26460000</v>
      </c>
      <c r="I116">
        <v>21600000</v>
      </c>
      <c r="J116">
        <v>4860000</v>
      </c>
      <c r="K116" t="s">
        <v>29</v>
      </c>
    </row>
    <row r="117" spans="1:11" x14ac:dyDescent="0.3">
      <c r="A117">
        <v>45042</v>
      </c>
      <c r="B117" t="s">
        <v>15</v>
      </c>
      <c r="C117" t="s">
        <v>13</v>
      </c>
      <c r="D117">
        <v>3</v>
      </c>
      <c r="E117">
        <v>18000000</v>
      </c>
      <c r="F117">
        <v>2</v>
      </c>
      <c r="G117">
        <v>3175200</v>
      </c>
      <c r="H117">
        <v>52920000</v>
      </c>
      <c r="I117">
        <v>43200000</v>
      </c>
      <c r="J117">
        <v>9720000</v>
      </c>
      <c r="K117" t="s">
        <v>29</v>
      </c>
    </row>
    <row r="118" spans="1:11" x14ac:dyDescent="0.3">
      <c r="A118">
        <v>45043</v>
      </c>
      <c r="B118" t="s">
        <v>16</v>
      </c>
      <c r="C118" t="s">
        <v>11</v>
      </c>
      <c r="D118">
        <v>2</v>
      </c>
      <c r="E118">
        <v>16000000</v>
      </c>
      <c r="F118">
        <v>6</v>
      </c>
      <c r="G118">
        <v>2707200</v>
      </c>
      <c r="H118">
        <v>30080000</v>
      </c>
      <c r="I118">
        <v>25600000</v>
      </c>
      <c r="J118">
        <v>4480000</v>
      </c>
      <c r="K118" t="s">
        <v>29</v>
      </c>
    </row>
    <row r="119" spans="1:11" x14ac:dyDescent="0.3">
      <c r="A119">
        <v>45044</v>
      </c>
      <c r="B119" t="s">
        <v>15</v>
      </c>
      <c r="C119" t="s">
        <v>11</v>
      </c>
      <c r="D119">
        <v>1</v>
      </c>
      <c r="E119">
        <v>18000000</v>
      </c>
      <c r="F119">
        <v>2</v>
      </c>
      <c r="G119">
        <v>3175200</v>
      </c>
      <c r="H119">
        <v>17640000</v>
      </c>
      <c r="I119">
        <v>14400000</v>
      </c>
      <c r="J119">
        <v>3240000</v>
      </c>
      <c r="K119" t="s">
        <v>29</v>
      </c>
    </row>
    <row r="120" spans="1:11" x14ac:dyDescent="0.3">
      <c r="A120">
        <v>45045</v>
      </c>
      <c r="B120" t="s">
        <v>12</v>
      </c>
      <c r="C120" t="s">
        <v>18</v>
      </c>
      <c r="D120">
        <v>3</v>
      </c>
      <c r="E120">
        <v>17000000</v>
      </c>
      <c r="F120">
        <v>5</v>
      </c>
      <c r="G120">
        <v>2907000</v>
      </c>
      <c r="H120">
        <v>48450000</v>
      </c>
      <c r="I120">
        <v>40800000</v>
      </c>
      <c r="J120">
        <v>7650000</v>
      </c>
      <c r="K120" t="s">
        <v>29</v>
      </c>
    </row>
    <row r="121" spans="1:11" x14ac:dyDescent="0.3">
      <c r="A121">
        <v>45046</v>
      </c>
      <c r="B121" t="s">
        <v>19</v>
      </c>
      <c r="C121" t="s">
        <v>18</v>
      </c>
      <c r="D121">
        <v>1</v>
      </c>
      <c r="E121">
        <v>15000000</v>
      </c>
      <c r="F121">
        <v>6</v>
      </c>
      <c r="G121">
        <v>2538000</v>
      </c>
      <c r="H121">
        <v>14100000</v>
      </c>
      <c r="I121">
        <v>12000000</v>
      </c>
      <c r="J121">
        <v>2100000</v>
      </c>
      <c r="K121" t="s">
        <v>29</v>
      </c>
    </row>
    <row r="122" spans="1:11" x14ac:dyDescent="0.3">
      <c r="A122">
        <v>45047</v>
      </c>
      <c r="B122" t="s">
        <v>12</v>
      </c>
      <c r="C122" t="s">
        <v>11</v>
      </c>
      <c r="D122">
        <v>3</v>
      </c>
      <c r="E122">
        <v>17000000</v>
      </c>
      <c r="F122">
        <v>3</v>
      </c>
      <c r="G122">
        <v>2968200</v>
      </c>
      <c r="H122">
        <v>49470000</v>
      </c>
      <c r="I122">
        <v>40800000</v>
      </c>
      <c r="J122">
        <v>8670000</v>
      </c>
      <c r="K122" t="s">
        <v>30</v>
      </c>
    </row>
    <row r="123" spans="1:11" x14ac:dyDescent="0.3">
      <c r="A123">
        <v>45048</v>
      </c>
      <c r="B123" t="s">
        <v>16</v>
      </c>
      <c r="C123" t="s">
        <v>14</v>
      </c>
      <c r="D123">
        <v>4</v>
      </c>
      <c r="E123">
        <v>16000000</v>
      </c>
      <c r="F123">
        <v>3</v>
      </c>
      <c r="G123">
        <v>2793600</v>
      </c>
      <c r="H123">
        <v>62080000</v>
      </c>
      <c r="I123">
        <v>51200000</v>
      </c>
      <c r="J123">
        <v>10880000</v>
      </c>
      <c r="K123" t="s">
        <v>30</v>
      </c>
    </row>
    <row r="124" spans="1:11" x14ac:dyDescent="0.3">
      <c r="A124">
        <v>45049</v>
      </c>
      <c r="B124" t="s">
        <v>19</v>
      </c>
      <c r="C124" t="s">
        <v>11</v>
      </c>
      <c r="D124">
        <v>4</v>
      </c>
      <c r="E124">
        <v>15000000</v>
      </c>
      <c r="F124">
        <v>5</v>
      </c>
      <c r="G124">
        <v>2565000</v>
      </c>
      <c r="H124">
        <v>57000000</v>
      </c>
      <c r="I124">
        <v>48000000</v>
      </c>
      <c r="J124">
        <v>9000000</v>
      </c>
      <c r="K124" t="s">
        <v>30</v>
      </c>
    </row>
    <row r="125" spans="1:11" x14ac:dyDescent="0.3">
      <c r="A125">
        <v>45050</v>
      </c>
      <c r="B125" t="s">
        <v>10</v>
      </c>
      <c r="C125" t="s">
        <v>18</v>
      </c>
      <c r="D125">
        <v>3</v>
      </c>
      <c r="E125">
        <v>9000000</v>
      </c>
      <c r="F125">
        <v>2</v>
      </c>
      <c r="G125">
        <v>1587600</v>
      </c>
      <c r="H125">
        <v>26460000</v>
      </c>
      <c r="I125">
        <v>21600000</v>
      </c>
      <c r="J125">
        <v>4860000</v>
      </c>
      <c r="K125" t="s">
        <v>30</v>
      </c>
    </row>
    <row r="126" spans="1:11" x14ac:dyDescent="0.3">
      <c r="A126">
        <v>45051</v>
      </c>
      <c r="B126" t="s">
        <v>16</v>
      </c>
      <c r="C126" t="s">
        <v>18</v>
      </c>
      <c r="D126">
        <v>4</v>
      </c>
      <c r="E126">
        <v>16000000</v>
      </c>
      <c r="F126">
        <v>2</v>
      </c>
      <c r="G126">
        <v>2822400</v>
      </c>
      <c r="H126">
        <v>62720000</v>
      </c>
      <c r="I126">
        <v>51200000</v>
      </c>
      <c r="J126">
        <v>11520000</v>
      </c>
      <c r="K126" t="s">
        <v>30</v>
      </c>
    </row>
    <row r="127" spans="1:11" x14ac:dyDescent="0.3">
      <c r="A127">
        <v>45052</v>
      </c>
      <c r="B127" t="s">
        <v>16</v>
      </c>
      <c r="C127" t="s">
        <v>18</v>
      </c>
      <c r="D127">
        <v>4</v>
      </c>
      <c r="E127">
        <v>16000000</v>
      </c>
      <c r="F127">
        <v>6</v>
      </c>
      <c r="G127">
        <v>2707200</v>
      </c>
      <c r="H127">
        <v>60160000</v>
      </c>
      <c r="I127">
        <v>51200000</v>
      </c>
      <c r="J127">
        <v>8960000</v>
      </c>
      <c r="K127" t="s">
        <v>30</v>
      </c>
    </row>
    <row r="128" spans="1:11" x14ac:dyDescent="0.3">
      <c r="A128">
        <v>45053</v>
      </c>
      <c r="B128" t="s">
        <v>15</v>
      </c>
      <c r="C128" t="s">
        <v>18</v>
      </c>
      <c r="D128">
        <v>3</v>
      </c>
      <c r="E128">
        <v>18000000</v>
      </c>
      <c r="F128">
        <v>5</v>
      </c>
      <c r="G128">
        <v>3078000</v>
      </c>
      <c r="H128">
        <v>51300000</v>
      </c>
      <c r="I128">
        <v>43200000</v>
      </c>
      <c r="J128">
        <v>8100000</v>
      </c>
      <c r="K128" t="s">
        <v>30</v>
      </c>
    </row>
    <row r="129" spans="1:11" x14ac:dyDescent="0.3">
      <c r="A129">
        <v>45054</v>
      </c>
      <c r="B129" t="s">
        <v>12</v>
      </c>
      <c r="C129" t="s">
        <v>17</v>
      </c>
      <c r="D129">
        <v>1</v>
      </c>
      <c r="E129">
        <v>17000000</v>
      </c>
      <c r="F129">
        <v>3</v>
      </c>
      <c r="G129">
        <v>2968200</v>
      </c>
      <c r="H129">
        <v>16490000</v>
      </c>
      <c r="I129">
        <v>13600000</v>
      </c>
      <c r="J129">
        <v>2890000</v>
      </c>
      <c r="K129" t="s">
        <v>30</v>
      </c>
    </row>
    <row r="130" spans="1:11" x14ac:dyDescent="0.3">
      <c r="A130">
        <v>45055</v>
      </c>
      <c r="B130" t="s">
        <v>16</v>
      </c>
      <c r="C130" t="s">
        <v>17</v>
      </c>
      <c r="D130">
        <v>1</v>
      </c>
      <c r="E130">
        <v>16000000</v>
      </c>
      <c r="F130">
        <v>3</v>
      </c>
      <c r="G130">
        <v>2793600</v>
      </c>
      <c r="H130">
        <v>15520000</v>
      </c>
      <c r="I130">
        <v>12800000</v>
      </c>
      <c r="J130">
        <v>2720000</v>
      </c>
      <c r="K130" t="s">
        <v>30</v>
      </c>
    </row>
    <row r="131" spans="1:11" x14ac:dyDescent="0.3">
      <c r="A131">
        <v>45056</v>
      </c>
      <c r="B131" t="s">
        <v>19</v>
      </c>
      <c r="C131" t="s">
        <v>18</v>
      </c>
      <c r="D131">
        <v>3</v>
      </c>
      <c r="E131">
        <v>15000000</v>
      </c>
      <c r="F131">
        <v>5</v>
      </c>
      <c r="G131">
        <v>2565000</v>
      </c>
      <c r="H131">
        <v>42750000</v>
      </c>
      <c r="I131">
        <v>36000000</v>
      </c>
      <c r="J131">
        <v>6750000</v>
      </c>
      <c r="K131" t="s">
        <v>30</v>
      </c>
    </row>
    <row r="132" spans="1:11" x14ac:dyDescent="0.3">
      <c r="A132">
        <v>45057</v>
      </c>
      <c r="B132" t="s">
        <v>10</v>
      </c>
      <c r="C132" t="s">
        <v>14</v>
      </c>
      <c r="D132">
        <v>4</v>
      </c>
      <c r="E132">
        <v>9000000</v>
      </c>
      <c r="F132">
        <v>5</v>
      </c>
      <c r="G132">
        <v>1539000</v>
      </c>
      <c r="H132">
        <v>34200000</v>
      </c>
      <c r="I132">
        <v>28800000</v>
      </c>
      <c r="J132">
        <v>5400000</v>
      </c>
      <c r="K132" t="s">
        <v>30</v>
      </c>
    </row>
    <row r="133" spans="1:11" x14ac:dyDescent="0.3">
      <c r="A133">
        <v>45058</v>
      </c>
      <c r="B133" t="s">
        <v>19</v>
      </c>
      <c r="C133" t="s">
        <v>13</v>
      </c>
      <c r="D133">
        <v>2</v>
      </c>
      <c r="E133">
        <v>15000000</v>
      </c>
      <c r="F133">
        <v>5</v>
      </c>
      <c r="G133">
        <v>2565000</v>
      </c>
      <c r="H133">
        <v>28500000</v>
      </c>
      <c r="I133">
        <v>24000000</v>
      </c>
      <c r="J133">
        <v>4500000</v>
      </c>
      <c r="K133" t="s">
        <v>30</v>
      </c>
    </row>
    <row r="134" spans="1:11" x14ac:dyDescent="0.3">
      <c r="A134">
        <v>45059</v>
      </c>
      <c r="B134" t="s">
        <v>12</v>
      </c>
      <c r="C134" t="s">
        <v>17</v>
      </c>
      <c r="D134">
        <v>4</v>
      </c>
      <c r="E134">
        <v>17000000</v>
      </c>
      <c r="F134">
        <v>5</v>
      </c>
      <c r="G134">
        <v>2907000</v>
      </c>
      <c r="H134">
        <v>64600000</v>
      </c>
      <c r="I134">
        <v>54400000</v>
      </c>
      <c r="J134">
        <v>10200000</v>
      </c>
      <c r="K134" t="s">
        <v>30</v>
      </c>
    </row>
    <row r="135" spans="1:11" x14ac:dyDescent="0.3">
      <c r="A135">
        <v>45060</v>
      </c>
      <c r="B135" t="s">
        <v>16</v>
      </c>
      <c r="C135" t="s">
        <v>18</v>
      </c>
      <c r="D135">
        <v>4</v>
      </c>
      <c r="E135">
        <v>16000000</v>
      </c>
      <c r="F135">
        <v>4</v>
      </c>
      <c r="G135">
        <v>2764800</v>
      </c>
      <c r="H135">
        <v>61440000</v>
      </c>
      <c r="I135">
        <v>51200000</v>
      </c>
      <c r="J135">
        <v>10240000</v>
      </c>
      <c r="K135" t="s">
        <v>30</v>
      </c>
    </row>
    <row r="136" spans="1:11" x14ac:dyDescent="0.3">
      <c r="A136">
        <v>45061</v>
      </c>
      <c r="B136" t="s">
        <v>19</v>
      </c>
      <c r="C136" t="s">
        <v>14</v>
      </c>
      <c r="D136">
        <v>4</v>
      </c>
      <c r="E136">
        <v>15000000</v>
      </c>
      <c r="F136">
        <v>4</v>
      </c>
      <c r="G136">
        <v>2592000</v>
      </c>
      <c r="H136">
        <v>57600000</v>
      </c>
      <c r="I136">
        <v>48000000</v>
      </c>
      <c r="J136">
        <v>9600000</v>
      </c>
      <c r="K136" t="s">
        <v>30</v>
      </c>
    </row>
    <row r="137" spans="1:11" x14ac:dyDescent="0.3">
      <c r="A137">
        <v>45062</v>
      </c>
      <c r="B137" t="s">
        <v>15</v>
      </c>
      <c r="C137" t="s">
        <v>11</v>
      </c>
      <c r="D137">
        <v>2</v>
      </c>
      <c r="E137">
        <v>18000000</v>
      </c>
      <c r="F137">
        <v>3</v>
      </c>
      <c r="G137">
        <v>3142800</v>
      </c>
      <c r="H137">
        <v>34920000</v>
      </c>
      <c r="I137">
        <v>28800000</v>
      </c>
      <c r="J137">
        <v>6120000</v>
      </c>
      <c r="K137" t="s">
        <v>30</v>
      </c>
    </row>
    <row r="138" spans="1:11" x14ac:dyDescent="0.3">
      <c r="A138">
        <v>45063</v>
      </c>
      <c r="B138" t="s">
        <v>15</v>
      </c>
      <c r="C138" t="s">
        <v>13</v>
      </c>
      <c r="D138">
        <v>3</v>
      </c>
      <c r="E138">
        <v>18000000</v>
      </c>
      <c r="F138">
        <v>6</v>
      </c>
      <c r="G138">
        <v>3045600</v>
      </c>
      <c r="H138">
        <v>50760000</v>
      </c>
      <c r="I138">
        <v>43200000</v>
      </c>
      <c r="J138">
        <v>7560000</v>
      </c>
      <c r="K138" t="s">
        <v>30</v>
      </c>
    </row>
    <row r="139" spans="1:11" x14ac:dyDescent="0.3">
      <c r="A139">
        <v>45064</v>
      </c>
      <c r="B139" t="s">
        <v>16</v>
      </c>
      <c r="C139" t="s">
        <v>17</v>
      </c>
      <c r="D139">
        <v>2</v>
      </c>
      <c r="E139">
        <v>16000000</v>
      </c>
      <c r="F139">
        <v>3</v>
      </c>
      <c r="G139">
        <v>2793600</v>
      </c>
      <c r="H139">
        <v>31040000</v>
      </c>
      <c r="I139">
        <v>25600000</v>
      </c>
      <c r="J139">
        <v>5440000</v>
      </c>
      <c r="K139" t="s">
        <v>30</v>
      </c>
    </row>
    <row r="140" spans="1:11" x14ac:dyDescent="0.3">
      <c r="A140">
        <v>45065</v>
      </c>
      <c r="B140" t="s">
        <v>15</v>
      </c>
      <c r="C140" t="s">
        <v>13</v>
      </c>
      <c r="D140">
        <v>2</v>
      </c>
      <c r="E140">
        <v>18000000</v>
      </c>
      <c r="F140">
        <v>3</v>
      </c>
      <c r="G140">
        <v>3142800</v>
      </c>
      <c r="H140">
        <v>34920000</v>
      </c>
      <c r="I140">
        <v>28800000</v>
      </c>
      <c r="J140">
        <v>6120000</v>
      </c>
      <c r="K140" t="s">
        <v>30</v>
      </c>
    </row>
    <row r="141" spans="1:11" x14ac:dyDescent="0.3">
      <c r="A141">
        <v>45066</v>
      </c>
      <c r="B141" t="s">
        <v>19</v>
      </c>
      <c r="C141" t="s">
        <v>17</v>
      </c>
      <c r="D141">
        <v>4</v>
      </c>
      <c r="E141">
        <v>15000000</v>
      </c>
      <c r="F141">
        <v>2</v>
      </c>
      <c r="G141">
        <v>2646000</v>
      </c>
      <c r="H141">
        <v>58800000</v>
      </c>
      <c r="I141">
        <v>48000000</v>
      </c>
      <c r="J141">
        <v>10800000</v>
      </c>
      <c r="K141" t="s">
        <v>30</v>
      </c>
    </row>
    <row r="142" spans="1:11" x14ac:dyDescent="0.3">
      <c r="A142">
        <v>45067</v>
      </c>
      <c r="B142" t="s">
        <v>19</v>
      </c>
      <c r="C142" t="s">
        <v>13</v>
      </c>
      <c r="D142">
        <v>4</v>
      </c>
      <c r="E142">
        <v>15000000</v>
      </c>
      <c r="F142">
        <v>5</v>
      </c>
      <c r="G142">
        <v>2565000</v>
      </c>
      <c r="H142">
        <v>57000000</v>
      </c>
      <c r="I142">
        <v>48000000</v>
      </c>
      <c r="J142">
        <v>9000000</v>
      </c>
      <c r="K142" t="s">
        <v>30</v>
      </c>
    </row>
    <row r="143" spans="1:11" x14ac:dyDescent="0.3">
      <c r="A143">
        <v>45068</v>
      </c>
      <c r="B143" t="s">
        <v>12</v>
      </c>
      <c r="C143" t="s">
        <v>11</v>
      </c>
      <c r="D143">
        <v>2</v>
      </c>
      <c r="E143">
        <v>17000000</v>
      </c>
      <c r="F143">
        <v>5</v>
      </c>
      <c r="G143">
        <v>2907000</v>
      </c>
      <c r="H143">
        <v>32300000</v>
      </c>
      <c r="I143">
        <v>27200000</v>
      </c>
      <c r="J143">
        <v>5100000</v>
      </c>
      <c r="K143" t="s">
        <v>30</v>
      </c>
    </row>
    <row r="144" spans="1:11" x14ac:dyDescent="0.3">
      <c r="A144">
        <v>45069</v>
      </c>
      <c r="B144" t="s">
        <v>12</v>
      </c>
      <c r="C144" t="s">
        <v>18</v>
      </c>
      <c r="D144">
        <v>2</v>
      </c>
      <c r="E144">
        <v>17000000</v>
      </c>
      <c r="F144">
        <v>2</v>
      </c>
      <c r="G144">
        <v>2998800</v>
      </c>
      <c r="H144">
        <v>33320000</v>
      </c>
      <c r="I144">
        <v>27200000</v>
      </c>
      <c r="J144">
        <v>6120000</v>
      </c>
      <c r="K144" t="s">
        <v>30</v>
      </c>
    </row>
    <row r="145" spans="1:11" x14ac:dyDescent="0.3">
      <c r="A145">
        <v>45070</v>
      </c>
      <c r="B145" t="s">
        <v>12</v>
      </c>
      <c r="C145" t="s">
        <v>14</v>
      </c>
      <c r="D145">
        <v>2</v>
      </c>
      <c r="E145">
        <v>17000000</v>
      </c>
      <c r="F145">
        <v>3</v>
      </c>
      <c r="G145">
        <v>2968200</v>
      </c>
      <c r="H145">
        <v>32980000</v>
      </c>
      <c r="I145">
        <v>27200000</v>
      </c>
      <c r="J145">
        <v>5780000</v>
      </c>
      <c r="K145" t="s">
        <v>30</v>
      </c>
    </row>
    <row r="146" spans="1:11" x14ac:dyDescent="0.3">
      <c r="A146">
        <v>45071</v>
      </c>
      <c r="B146" t="s">
        <v>10</v>
      </c>
      <c r="C146" t="s">
        <v>17</v>
      </c>
      <c r="D146">
        <v>1</v>
      </c>
      <c r="E146">
        <v>9000000</v>
      </c>
      <c r="F146">
        <v>4</v>
      </c>
      <c r="G146">
        <v>1555200</v>
      </c>
      <c r="H146">
        <v>8640000</v>
      </c>
      <c r="I146">
        <v>7200000</v>
      </c>
      <c r="J146">
        <v>1440000</v>
      </c>
      <c r="K146" t="s">
        <v>30</v>
      </c>
    </row>
    <row r="147" spans="1:11" x14ac:dyDescent="0.3">
      <c r="A147">
        <v>45072</v>
      </c>
      <c r="B147" t="s">
        <v>19</v>
      </c>
      <c r="C147" t="s">
        <v>17</v>
      </c>
      <c r="D147">
        <v>2</v>
      </c>
      <c r="E147">
        <v>15000000</v>
      </c>
      <c r="F147">
        <v>6</v>
      </c>
      <c r="G147">
        <v>2538000</v>
      </c>
      <c r="H147">
        <v>28200000</v>
      </c>
      <c r="I147">
        <v>24000000</v>
      </c>
      <c r="J147">
        <v>4200000</v>
      </c>
      <c r="K147" t="s">
        <v>30</v>
      </c>
    </row>
    <row r="148" spans="1:11" x14ac:dyDescent="0.3">
      <c r="A148">
        <v>45073</v>
      </c>
      <c r="B148" t="s">
        <v>10</v>
      </c>
      <c r="C148" t="s">
        <v>11</v>
      </c>
      <c r="D148">
        <v>1</v>
      </c>
      <c r="E148">
        <v>9000000</v>
      </c>
      <c r="F148">
        <v>6</v>
      </c>
      <c r="G148">
        <v>1522800</v>
      </c>
      <c r="H148">
        <v>8460000</v>
      </c>
      <c r="I148">
        <v>7200000</v>
      </c>
      <c r="J148">
        <v>1260000</v>
      </c>
      <c r="K148" t="s">
        <v>30</v>
      </c>
    </row>
    <row r="149" spans="1:11" x14ac:dyDescent="0.3">
      <c r="A149">
        <v>45074</v>
      </c>
      <c r="B149" t="s">
        <v>12</v>
      </c>
      <c r="C149" t="s">
        <v>14</v>
      </c>
      <c r="D149">
        <v>2</v>
      </c>
      <c r="E149">
        <v>17000000</v>
      </c>
      <c r="F149">
        <v>6</v>
      </c>
      <c r="G149">
        <v>2876400</v>
      </c>
      <c r="H149">
        <v>31960000</v>
      </c>
      <c r="I149">
        <v>27200000</v>
      </c>
      <c r="J149">
        <v>4760000</v>
      </c>
      <c r="K149" t="s">
        <v>30</v>
      </c>
    </row>
    <row r="150" spans="1:11" x14ac:dyDescent="0.3">
      <c r="A150">
        <v>45075</v>
      </c>
      <c r="B150" t="s">
        <v>10</v>
      </c>
      <c r="C150" t="s">
        <v>14</v>
      </c>
      <c r="D150">
        <v>4</v>
      </c>
      <c r="E150">
        <v>9000000</v>
      </c>
      <c r="F150">
        <v>2</v>
      </c>
      <c r="G150">
        <v>1587600</v>
      </c>
      <c r="H150">
        <v>35280000</v>
      </c>
      <c r="I150">
        <v>28800000</v>
      </c>
      <c r="J150">
        <v>6480000</v>
      </c>
      <c r="K150" t="s">
        <v>30</v>
      </c>
    </row>
    <row r="151" spans="1:11" x14ac:dyDescent="0.3">
      <c r="A151">
        <v>45076</v>
      </c>
      <c r="B151" t="s">
        <v>19</v>
      </c>
      <c r="C151" t="s">
        <v>17</v>
      </c>
      <c r="D151">
        <v>2</v>
      </c>
      <c r="E151">
        <v>15000000</v>
      </c>
      <c r="F151">
        <v>5</v>
      </c>
      <c r="G151">
        <v>2565000</v>
      </c>
      <c r="H151">
        <v>28500000</v>
      </c>
      <c r="I151">
        <v>24000000</v>
      </c>
      <c r="J151">
        <v>4500000</v>
      </c>
      <c r="K151" t="s">
        <v>30</v>
      </c>
    </row>
    <row r="152" spans="1:11" x14ac:dyDescent="0.3">
      <c r="A152">
        <v>45077</v>
      </c>
      <c r="B152" t="s">
        <v>12</v>
      </c>
      <c r="C152" t="s">
        <v>13</v>
      </c>
      <c r="D152">
        <v>2</v>
      </c>
      <c r="E152">
        <v>17000000</v>
      </c>
      <c r="F152">
        <v>3</v>
      </c>
      <c r="G152">
        <v>2968200</v>
      </c>
      <c r="H152">
        <v>32980000</v>
      </c>
      <c r="I152">
        <v>27200000</v>
      </c>
      <c r="J152">
        <v>5780000</v>
      </c>
      <c r="K152" t="s">
        <v>30</v>
      </c>
    </row>
    <row r="153" spans="1:11" x14ac:dyDescent="0.3">
      <c r="A153">
        <v>45078</v>
      </c>
      <c r="B153" t="s">
        <v>12</v>
      </c>
      <c r="C153" t="s">
        <v>11</v>
      </c>
      <c r="D153">
        <v>4</v>
      </c>
      <c r="E153">
        <v>17000000</v>
      </c>
      <c r="F153">
        <v>2</v>
      </c>
      <c r="G153">
        <v>2998800</v>
      </c>
      <c r="H153">
        <v>66640000</v>
      </c>
      <c r="I153">
        <v>54400000</v>
      </c>
      <c r="J153">
        <v>12240000</v>
      </c>
      <c r="K153" t="s">
        <v>31</v>
      </c>
    </row>
    <row r="154" spans="1:11" x14ac:dyDescent="0.3">
      <c r="A154">
        <v>45079</v>
      </c>
      <c r="B154" t="s">
        <v>10</v>
      </c>
      <c r="C154" t="s">
        <v>14</v>
      </c>
      <c r="D154">
        <v>2</v>
      </c>
      <c r="E154">
        <v>9000000</v>
      </c>
      <c r="F154">
        <v>4</v>
      </c>
      <c r="G154">
        <v>1555200</v>
      </c>
      <c r="H154">
        <v>17280000</v>
      </c>
      <c r="I154">
        <v>14400000</v>
      </c>
      <c r="J154">
        <v>2880000</v>
      </c>
      <c r="K154" t="s">
        <v>31</v>
      </c>
    </row>
    <row r="155" spans="1:11" x14ac:dyDescent="0.3">
      <c r="A155">
        <v>45080</v>
      </c>
      <c r="B155" t="s">
        <v>16</v>
      </c>
      <c r="C155" t="s">
        <v>13</v>
      </c>
      <c r="D155">
        <v>4</v>
      </c>
      <c r="E155">
        <v>16000000</v>
      </c>
      <c r="F155">
        <v>5</v>
      </c>
      <c r="G155">
        <v>2736000</v>
      </c>
      <c r="H155">
        <v>60800000</v>
      </c>
      <c r="I155">
        <v>51200000</v>
      </c>
      <c r="J155">
        <v>9600000</v>
      </c>
      <c r="K155" t="s">
        <v>31</v>
      </c>
    </row>
    <row r="156" spans="1:11" x14ac:dyDescent="0.3">
      <c r="A156">
        <v>45081</v>
      </c>
      <c r="B156" t="s">
        <v>15</v>
      </c>
      <c r="C156" t="s">
        <v>17</v>
      </c>
      <c r="D156">
        <v>2</v>
      </c>
      <c r="E156">
        <v>18000000</v>
      </c>
      <c r="F156">
        <v>5</v>
      </c>
      <c r="G156">
        <v>3078000</v>
      </c>
      <c r="H156">
        <v>34200000</v>
      </c>
      <c r="I156">
        <v>28800000</v>
      </c>
      <c r="J156">
        <v>5400000</v>
      </c>
      <c r="K156" t="s">
        <v>31</v>
      </c>
    </row>
    <row r="157" spans="1:11" x14ac:dyDescent="0.3">
      <c r="A157">
        <v>45082</v>
      </c>
      <c r="B157" t="s">
        <v>10</v>
      </c>
      <c r="C157" t="s">
        <v>13</v>
      </c>
      <c r="D157">
        <v>3</v>
      </c>
      <c r="E157">
        <v>9000000</v>
      </c>
      <c r="F157">
        <v>4</v>
      </c>
      <c r="G157">
        <v>1555200</v>
      </c>
      <c r="H157">
        <v>25920000</v>
      </c>
      <c r="I157">
        <v>21600000</v>
      </c>
      <c r="J157">
        <v>4320000</v>
      </c>
      <c r="K157" t="s">
        <v>31</v>
      </c>
    </row>
    <row r="158" spans="1:11" x14ac:dyDescent="0.3">
      <c r="A158">
        <v>45083</v>
      </c>
      <c r="B158" t="s">
        <v>10</v>
      </c>
      <c r="C158" t="s">
        <v>11</v>
      </c>
      <c r="D158">
        <v>4</v>
      </c>
      <c r="E158">
        <v>9000000</v>
      </c>
      <c r="F158">
        <v>6</v>
      </c>
      <c r="G158">
        <v>1522800</v>
      </c>
      <c r="H158">
        <v>33840000</v>
      </c>
      <c r="I158">
        <v>28800000</v>
      </c>
      <c r="J158">
        <v>5040000</v>
      </c>
      <c r="K158" t="s">
        <v>31</v>
      </c>
    </row>
    <row r="159" spans="1:11" x14ac:dyDescent="0.3">
      <c r="A159">
        <v>45084</v>
      </c>
      <c r="B159" t="s">
        <v>15</v>
      </c>
      <c r="C159" t="s">
        <v>14</v>
      </c>
      <c r="D159">
        <v>3</v>
      </c>
      <c r="E159">
        <v>18000000</v>
      </c>
      <c r="F159">
        <v>5</v>
      </c>
      <c r="G159">
        <v>3078000</v>
      </c>
      <c r="H159">
        <v>51300000</v>
      </c>
      <c r="I159">
        <v>43200000</v>
      </c>
      <c r="J159">
        <v>8100000</v>
      </c>
      <c r="K159" t="s">
        <v>31</v>
      </c>
    </row>
    <row r="160" spans="1:11" x14ac:dyDescent="0.3">
      <c r="A160">
        <v>45085</v>
      </c>
      <c r="B160" t="s">
        <v>12</v>
      </c>
      <c r="C160" t="s">
        <v>14</v>
      </c>
      <c r="D160">
        <v>3</v>
      </c>
      <c r="E160">
        <v>17000000</v>
      </c>
      <c r="F160">
        <v>2</v>
      </c>
      <c r="G160">
        <v>2998800</v>
      </c>
      <c r="H160">
        <v>49980000</v>
      </c>
      <c r="I160">
        <v>40800000</v>
      </c>
      <c r="J160">
        <v>9180000</v>
      </c>
      <c r="K160" t="s">
        <v>31</v>
      </c>
    </row>
    <row r="161" spans="1:11" x14ac:dyDescent="0.3">
      <c r="A161">
        <v>45086</v>
      </c>
      <c r="B161" t="s">
        <v>12</v>
      </c>
      <c r="C161" t="s">
        <v>17</v>
      </c>
      <c r="D161">
        <v>4</v>
      </c>
      <c r="E161">
        <v>17000000</v>
      </c>
      <c r="F161">
        <v>6</v>
      </c>
      <c r="G161">
        <v>2876400</v>
      </c>
      <c r="H161">
        <v>63920000</v>
      </c>
      <c r="I161">
        <v>54400000</v>
      </c>
      <c r="J161">
        <v>9520000</v>
      </c>
      <c r="K161" t="s">
        <v>31</v>
      </c>
    </row>
    <row r="162" spans="1:11" x14ac:dyDescent="0.3">
      <c r="A162">
        <v>45087</v>
      </c>
      <c r="B162" t="s">
        <v>12</v>
      </c>
      <c r="C162" t="s">
        <v>11</v>
      </c>
      <c r="D162">
        <v>1</v>
      </c>
      <c r="E162">
        <v>17000000</v>
      </c>
      <c r="F162">
        <v>4</v>
      </c>
      <c r="G162">
        <v>2937600</v>
      </c>
      <c r="H162">
        <v>16320000</v>
      </c>
      <c r="I162">
        <v>13600000</v>
      </c>
      <c r="J162">
        <v>2720000</v>
      </c>
      <c r="K162" t="s">
        <v>31</v>
      </c>
    </row>
    <row r="163" spans="1:11" x14ac:dyDescent="0.3">
      <c r="A163">
        <v>45088</v>
      </c>
      <c r="B163" t="s">
        <v>19</v>
      </c>
      <c r="C163" t="s">
        <v>11</v>
      </c>
      <c r="D163">
        <v>1</v>
      </c>
      <c r="E163">
        <v>15000000</v>
      </c>
      <c r="F163">
        <v>6</v>
      </c>
      <c r="G163">
        <v>2538000</v>
      </c>
      <c r="H163">
        <v>14100000</v>
      </c>
      <c r="I163">
        <v>12000000</v>
      </c>
      <c r="J163">
        <v>2100000</v>
      </c>
      <c r="K163" t="s">
        <v>31</v>
      </c>
    </row>
    <row r="164" spans="1:11" x14ac:dyDescent="0.3">
      <c r="A164">
        <v>45089</v>
      </c>
      <c r="B164" t="s">
        <v>12</v>
      </c>
      <c r="C164" t="s">
        <v>13</v>
      </c>
      <c r="D164">
        <v>1</v>
      </c>
      <c r="E164">
        <v>17000000</v>
      </c>
      <c r="F164">
        <v>4</v>
      </c>
      <c r="G164">
        <v>2937600</v>
      </c>
      <c r="H164">
        <v>16320000</v>
      </c>
      <c r="I164">
        <v>13600000</v>
      </c>
      <c r="J164">
        <v>2720000</v>
      </c>
      <c r="K164" t="s">
        <v>31</v>
      </c>
    </row>
    <row r="165" spans="1:11" x14ac:dyDescent="0.3">
      <c r="A165">
        <v>45090</v>
      </c>
      <c r="B165" t="s">
        <v>12</v>
      </c>
      <c r="C165" t="s">
        <v>18</v>
      </c>
      <c r="D165">
        <v>2</v>
      </c>
      <c r="E165">
        <v>17000000</v>
      </c>
      <c r="F165">
        <v>3</v>
      </c>
      <c r="G165">
        <v>2968200</v>
      </c>
      <c r="H165">
        <v>32980000</v>
      </c>
      <c r="I165">
        <v>27200000</v>
      </c>
      <c r="J165">
        <v>5780000</v>
      </c>
      <c r="K165" t="s">
        <v>31</v>
      </c>
    </row>
    <row r="166" spans="1:11" x14ac:dyDescent="0.3">
      <c r="A166">
        <v>45091</v>
      </c>
      <c r="B166" t="s">
        <v>19</v>
      </c>
      <c r="C166" t="s">
        <v>14</v>
      </c>
      <c r="D166">
        <v>1</v>
      </c>
      <c r="E166">
        <v>15000000</v>
      </c>
      <c r="F166">
        <v>3</v>
      </c>
      <c r="G166">
        <v>2619000</v>
      </c>
      <c r="H166">
        <v>14550000</v>
      </c>
      <c r="I166">
        <v>12000000</v>
      </c>
      <c r="J166">
        <v>2550000</v>
      </c>
      <c r="K166" t="s">
        <v>31</v>
      </c>
    </row>
    <row r="167" spans="1:11" x14ac:dyDescent="0.3">
      <c r="A167">
        <v>45092</v>
      </c>
      <c r="B167" t="s">
        <v>19</v>
      </c>
      <c r="C167" t="s">
        <v>18</v>
      </c>
      <c r="D167">
        <v>2</v>
      </c>
      <c r="E167">
        <v>15000000</v>
      </c>
      <c r="F167">
        <v>5</v>
      </c>
      <c r="G167">
        <v>2565000</v>
      </c>
      <c r="H167">
        <v>28500000</v>
      </c>
      <c r="I167">
        <v>24000000</v>
      </c>
      <c r="J167">
        <v>4500000</v>
      </c>
      <c r="K167" t="s">
        <v>31</v>
      </c>
    </row>
    <row r="168" spans="1:11" x14ac:dyDescent="0.3">
      <c r="A168">
        <v>45093</v>
      </c>
      <c r="B168" t="s">
        <v>15</v>
      </c>
      <c r="C168" t="s">
        <v>17</v>
      </c>
      <c r="D168">
        <v>1</v>
      </c>
      <c r="E168">
        <v>18000000</v>
      </c>
      <c r="F168">
        <v>2</v>
      </c>
      <c r="G168">
        <v>3175200</v>
      </c>
      <c r="H168">
        <v>17640000</v>
      </c>
      <c r="I168">
        <v>14400000</v>
      </c>
      <c r="J168">
        <v>3240000</v>
      </c>
      <c r="K168" t="s">
        <v>31</v>
      </c>
    </row>
    <row r="169" spans="1:11" x14ac:dyDescent="0.3">
      <c r="A169">
        <v>45094</v>
      </c>
      <c r="B169" t="s">
        <v>16</v>
      </c>
      <c r="C169" t="s">
        <v>14</v>
      </c>
      <c r="D169">
        <v>2</v>
      </c>
      <c r="E169">
        <v>16000000</v>
      </c>
      <c r="F169">
        <v>3</v>
      </c>
      <c r="G169">
        <v>2793600</v>
      </c>
      <c r="H169">
        <v>31040000</v>
      </c>
      <c r="I169">
        <v>25600000</v>
      </c>
      <c r="J169">
        <v>5440000</v>
      </c>
      <c r="K169" t="s">
        <v>31</v>
      </c>
    </row>
    <row r="170" spans="1:11" x14ac:dyDescent="0.3">
      <c r="A170">
        <v>45095</v>
      </c>
      <c r="B170" t="s">
        <v>12</v>
      </c>
      <c r="C170" t="s">
        <v>18</v>
      </c>
      <c r="D170">
        <v>1</v>
      </c>
      <c r="E170">
        <v>17000000</v>
      </c>
      <c r="F170">
        <v>3</v>
      </c>
      <c r="G170">
        <v>2968200</v>
      </c>
      <c r="H170">
        <v>16490000</v>
      </c>
      <c r="I170">
        <v>13600000</v>
      </c>
      <c r="J170">
        <v>2890000</v>
      </c>
      <c r="K170" t="s">
        <v>31</v>
      </c>
    </row>
    <row r="171" spans="1:11" x14ac:dyDescent="0.3">
      <c r="A171">
        <v>45096</v>
      </c>
      <c r="B171" t="s">
        <v>15</v>
      </c>
      <c r="C171" t="s">
        <v>11</v>
      </c>
      <c r="D171">
        <v>3</v>
      </c>
      <c r="E171">
        <v>18000000</v>
      </c>
      <c r="F171">
        <v>6</v>
      </c>
      <c r="G171">
        <v>3045600</v>
      </c>
      <c r="H171">
        <v>50760000</v>
      </c>
      <c r="I171">
        <v>43200000</v>
      </c>
      <c r="J171">
        <v>7560000</v>
      </c>
      <c r="K171" t="s">
        <v>31</v>
      </c>
    </row>
    <row r="172" spans="1:11" x14ac:dyDescent="0.3">
      <c r="A172">
        <v>45097</v>
      </c>
      <c r="B172" t="s">
        <v>10</v>
      </c>
      <c r="C172" t="s">
        <v>13</v>
      </c>
      <c r="D172">
        <v>2</v>
      </c>
      <c r="E172">
        <v>9000000</v>
      </c>
      <c r="F172">
        <v>5</v>
      </c>
      <c r="G172">
        <v>1539000</v>
      </c>
      <c r="H172">
        <v>17100000</v>
      </c>
      <c r="I172">
        <v>14400000</v>
      </c>
      <c r="J172">
        <v>2700000</v>
      </c>
      <c r="K172" t="s">
        <v>31</v>
      </c>
    </row>
    <row r="173" spans="1:11" x14ac:dyDescent="0.3">
      <c r="A173">
        <v>45098</v>
      </c>
      <c r="B173" t="s">
        <v>19</v>
      </c>
      <c r="C173" t="s">
        <v>17</v>
      </c>
      <c r="D173">
        <v>4</v>
      </c>
      <c r="E173">
        <v>15000000</v>
      </c>
      <c r="F173">
        <v>4</v>
      </c>
      <c r="G173">
        <v>2592000</v>
      </c>
      <c r="H173">
        <v>57600000</v>
      </c>
      <c r="I173">
        <v>48000000</v>
      </c>
      <c r="J173">
        <v>9600000</v>
      </c>
      <c r="K173" t="s">
        <v>31</v>
      </c>
    </row>
    <row r="174" spans="1:11" x14ac:dyDescent="0.3">
      <c r="A174">
        <v>45099</v>
      </c>
      <c r="B174" t="s">
        <v>19</v>
      </c>
      <c r="C174" t="s">
        <v>17</v>
      </c>
      <c r="D174">
        <v>3</v>
      </c>
      <c r="E174">
        <v>15000000</v>
      </c>
      <c r="F174">
        <v>2</v>
      </c>
      <c r="G174">
        <v>2646000</v>
      </c>
      <c r="H174">
        <v>44100000</v>
      </c>
      <c r="I174">
        <v>36000000</v>
      </c>
      <c r="J174">
        <v>8100000</v>
      </c>
      <c r="K174" t="s">
        <v>31</v>
      </c>
    </row>
    <row r="175" spans="1:11" x14ac:dyDescent="0.3">
      <c r="A175">
        <v>45100</v>
      </c>
      <c r="B175" t="s">
        <v>16</v>
      </c>
      <c r="C175" t="s">
        <v>18</v>
      </c>
      <c r="D175">
        <v>2</v>
      </c>
      <c r="E175">
        <v>16000000</v>
      </c>
      <c r="F175">
        <v>5</v>
      </c>
      <c r="G175">
        <v>2736000</v>
      </c>
      <c r="H175">
        <v>30400000</v>
      </c>
      <c r="I175">
        <v>25600000</v>
      </c>
      <c r="J175">
        <v>4800000</v>
      </c>
      <c r="K175" t="s">
        <v>31</v>
      </c>
    </row>
    <row r="176" spans="1:11" x14ac:dyDescent="0.3">
      <c r="A176">
        <v>45101</v>
      </c>
      <c r="B176" t="s">
        <v>16</v>
      </c>
      <c r="C176" t="s">
        <v>18</v>
      </c>
      <c r="D176">
        <v>4</v>
      </c>
      <c r="E176">
        <v>16000000</v>
      </c>
      <c r="F176">
        <v>3</v>
      </c>
      <c r="G176">
        <v>2793600</v>
      </c>
      <c r="H176">
        <v>62080000</v>
      </c>
      <c r="I176">
        <v>51200000</v>
      </c>
      <c r="J176">
        <v>10880000</v>
      </c>
      <c r="K176" t="s">
        <v>31</v>
      </c>
    </row>
    <row r="177" spans="1:11" x14ac:dyDescent="0.3">
      <c r="A177">
        <v>45102</v>
      </c>
      <c r="B177" t="s">
        <v>10</v>
      </c>
      <c r="C177" t="s">
        <v>13</v>
      </c>
      <c r="D177">
        <v>4</v>
      </c>
      <c r="E177">
        <v>9000000</v>
      </c>
      <c r="F177">
        <v>3</v>
      </c>
      <c r="G177">
        <v>1571400</v>
      </c>
      <c r="H177">
        <v>34920000</v>
      </c>
      <c r="I177">
        <v>28800000</v>
      </c>
      <c r="J177">
        <v>6120000</v>
      </c>
      <c r="K177" t="s">
        <v>31</v>
      </c>
    </row>
    <row r="178" spans="1:11" x14ac:dyDescent="0.3">
      <c r="A178">
        <v>45103</v>
      </c>
      <c r="B178" t="s">
        <v>16</v>
      </c>
      <c r="C178" t="s">
        <v>13</v>
      </c>
      <c r="D178">
        <v>3</v>
      </c>
      <c r="E178">
        <v>16000000</v>
      </c>
      <c r="F178">
        <v>4</v>
      </c>
      <c r="G178">
        <v>2764800</v>
      </c>
      <c r="H178">
        <v>46080000</v>
      </c>
      <c r="I178">
        <v>38400000</v>
      </c>
      <c r="J178">
        <v>7680000</v>
      </c>
      <c r="K178" t="s">
        <v>31</v>
      </c>
    </row>
    <row r="179" spans="1:11" x14ac:dyDescent="0.3">
      <c r="A179">
        <v>45104</v>
      </c>
      <c r="B179" t="s">
        <v>12</v>
      </c>
      <c r="C179" t="s">
        <v>18</v>
      </c>
      <c r="D179">
        <v>1</v>
      </c>
      <c r="E179">
        <v>17000000</v>
      </c>
      <c r="F179">
        <v>6</v>
      </c>
      <c r="G179">
        <v>2876400</v>
      </c>
      <c r="H179">
        <v>15980000</v>
      </c>
      <c r="I179">
        <v>13600000</v>
      </c>
      <c r="J179">
        <v>2380000</v>
      </c>
      <c r="K179" t="s">
        <v>31</v>
      </c>
    </row>
    <row r="180" spans="1:11" x14ac:dyDescent="0.3">
      <c r="A180">
        <v>45105</v>
      </c>
      <c r="B180" t="s">
        <v>15</v>
      </c>
      <c r="C180" t="s">
        <v>18</v>
      </c>
      <c r="D180">
        <v>4</v>
      </c>
      <c r="E180">
        <v>18000000</v>
      </c>
      <c r="F180">
        <v>4</v>
      </c>
      <c r="G180">
        <v>3110400</v>
      </c>
      <c r="H180">
        <v>69120000</v>
      </c>
      <c r="I180">
        <v>57600000</v>
      </c>
      <c r="J180">
        <v>11520000</v>
      </c>
      <c r="K180" t="s">
        <v>31</v>
      </c>
    </row>
    <row r="181" spans="1:11" x14ac:dyDescent="0.3">
      <c r="A181">
        <v>45106</v>
      </c>
      <c r="B181" t="s">
        <v>16</v>
      </c>
      <c r="C181" t="s">
        <v>14</v>
      </c>
      <c r="D181">
        <v>4</v>
      </c>
      <c r="E181">
        <v>16000000</v>
      </c>
      <c r="F181">
        <v>2</v>
      </c>
      <c r="G181">
        <v>2822400</v>
      </c>
      <c r="H181">
        <v>62720000</v>
      </c>
      <c r="I181">
        <v>51200000</v>
      </c>
      <c r="J181">
        <v>11520000</v>
      </c>
      <c r="K181" t="s">
        <v>31</v>
      </c>
    </row>
    <row r="182" spans="1:11" x14ac:dyDescent="0.3">
      <c r="A182">
        <v>45107</v>
      </c>
      <c r="B182" t="s">
        <v>12</v>
      </c>
      <c r="C182" t="s">
        <v>13</v>
      </c>
      <c r="D182">
        <v>3</v>
      </c>
      <c r="E182">
        <v>17000000</v>
      </c>
      <c r="F182">
        <v>3</v>
      </c>
      <c r="G182">
        <v>2968200</v>
      </c>
      <c r="H182">
        <v>49470000</v>
      </c>
      <c r="I182">
        <v>40800000</v>
      </c>
      <c r="J182">
        <v>8670000</v>
      </c>
      <c r="K182" t="s">
        <v>31</v>
      </c>
    </row>
    <row r="183" spans="1:11" x14ac:dyDescent="0.3">
      <c r="A183">
        <v>45108</v>
      </c>
      <c r="B183" t="s">
        <v>15</v>
      </c>
      <c r="C183" t="s">
        <v>13</v>
      </c>
      <c r="D183">
        <v>3</v>
      </c>
      <c r="E183">
        <v>18000000</v>
      </c>
      <c r="F183">
        <v>2</v>
      </c>
      <c r="G183">
        <v>3175200</v>
      </c>
      <c r="H183">
        <v>52920000</v>
      </c>
      <c r="I183">
        <v>43200000</v>
      </c>
      <c r="J183">
        <v>9720000</v>
      </c>
      <c r="K183" t="s">
        <v>32</v>
      </c>
    </row>
    <row r="184" spans="1:11" x14ac:dyDescent="0.3">
      <c r="A184">
        <v>45109</v>
      </c>
      <c r="B184" t="s">
        <v>15</v>
      </c>
      <c r="C184" t="s">
        <v>11</v>
      </c>
      <c r="D184">
        <v>1</v>
      </c>
      <c r="E184">
        <v>18000000</v>
      </c>
      <c r="F184">
        <v>5</v>
      </c>
      <c r="G184">
        <v>3078000</v>
      </c>
      <c r="H184">
        <v>17100000</v>
      </c>
      <c r="I184">
        <v>14400000</v>
      </c>
      <c r="J184">
        <v>2700000</v>
      </c>
      <c r="K184" t="s">
        <v>32</v>
      </c>
    </row>
    <row r="185" spans="1:11" x14ac:dyDescent="0.3">
      <c r="A185">
        <v>45110</v>
      </c>
      <c r="B185" t="s">
        <v>16</v>
      </c>
      <c r="C185" t="s">
        <v>17</v>
      </c>
      <c r="D185">
        <v>4</v>
      </c>
      <c r="E185">
        <v>16000000</v>
      </c>
      <c r="F185">
        <v>2</v>
      </c>
      <c r="G185">
        <v>2822400</v>
      </c>
      <c r="H185">
        <v>62720000</v>
      </c>
      <c r="I185">
        <v>51200000</v>
      </c>
      <c r="J185">
        <v>11520000</v>
      </c>
      <c r="K185" t="s">
        <v>32</v>
      </c>
    </row>
    <row r="186" spans="1:11" x14ac:dyDescent="0.3">
      <c r="A186">
        <v>45111</v>
      </c>
      <c r="B186" t="s">
        <v>12</v>
      </c>
      <c r="C186" t="s">
        <v>17</v>
      </c>
      <c r="D186">
        <v>3</v>
      </c>
      <c r="E186">
        <v>17000000</v>
      </c>
      <c r="F186">
        <v>5</v>
      </c>
      <c r="G186">
        <v>2907000</v>
      </c>
      <c r="H186">
        <v>48450000</v>
      </c>
      <c r="I186">
        <v>40800000</v>
      </c>
      <c r="J186">
        <v>7650000</v>
      </c>
      <c r="K186" t="s">
        <v>32</v>
      </c>
    </row>
    <row r="187" spans="1:11" x14ac:dyDescent="0.3">
      <c r="A187">
        <v>45112</v>
      </c>
      <c r="B187" t="s">
        <v>12</v>
      </c>
      <c r="C187" t="s">
        <v>17</v>
      </c>
      <c r="D187">
        <v>2</v>
      </c>
      <c r="E187">
        <v>17000000</v>
      </c>
      <c r="F187">
        <v>3</v>
      </c>
      <c r="G187">
        <v>2968200</v>
      </c>
      <c r="H187">
        <v>32980000</v>
      </c>
      <c r="I187">
        <v>27200000</v>
      </c>
      <c r="J187">
        <v>5780000</v>
      </c>
      <c r="K187" t="s">
        <v>32</v>
      </c>
    </row>
    <row r="188" spans="1:11" x14ac:dyDescent="0.3">
      <c r="A188">
        <v>45113</v>
      </c>
      <c r="B188" t="s">
        <v>12</v>
      </c>
      <c r="C188" t="s">
        <v>11</v>
      </c>
      <c r="D188">
        <v>4</v>
      </c>
      <c r="E188">
        <v>17000000</v>
      </c>
      <c r="F188">
        <v>5</v>
      </c>
      <c r="G188">
        <v>2907000</v>
      </c>
      <c r="H188">
        <v>64600000</v>
      </c>
      <c r="I188">
        <v>54400000</v>
      </c>
      <c r="J188">
        <v>10200000</v>
      </c>
      <c r="K188" t="s">
        <v>32</v>
      </c>
    </row>
    <row r="189" spans="1:11" x14ac:dyDescent="0.3">
      <c r="A189">
        <v>45114</v>
      </c>
      <c r="B189" t="s">
        <v>10</v>
      </c>
      <c r="C189" t="s">
        <v>18</v>
      </c>
      <c r="D189">
        <v>1</v>
      </c>
      <c r="E189">
        <v>9000000</v>
      </c>
      <c r="F189">
        <v>5</v>
      </c>
      <c r="G189">
        <v>1539000</v>
      </c>
      <c r="H189">
        <v>8550000</v>
      </c>
      <c r="I189">
        <v>7200000</v>
      </c>
      <c r="J189">
        <v>1350000</v>
      </c>
      <c r="K189" t="s">
        <v>32</v>
      </c>
    </row>
    <row r="190" spans="1:11" x14ac:dyDescent="0.3">
      <c r="A190">
        <v>45115</v>
      </c>
      <c r="B190" t="s">
        <v>15</v>
      </c>
      <c r="C190" t="s">
        <v>13</v>
      </c>
      <c r="D190">
        <v>4</v>
      </c>
      <c r="E190">
        <v>18000000</v>
      </c>
      <c r="F190">
        <v>5</v>
      </c>
      <c r="G190">
        <v>3078000</v>
      </c>
      <c r="H190">
        <v>68400000</v>
      </c>
      <c r="I190">
        <v>57600000</v>
      </c>
      <c r="J190">
        <v>10800000</v>
      </c>
      <c r="K190" t="s">
        <v>32</v>
      </c>
    </row>
    <row r="191" spans="1:11" x14ac:dyDescent="0.3">
      <c r="A191">
        <v>45116</v>
      </c>
      <c r="B191" t="s">
        <v>16</v>
      </c>
      <c r="C191" t="s">
        <v>13</v>
      </c>
      <c r="D191">
        <v>4</v>
      </c>
      <c r="E191">
        <v>16000000</v>
      </c>
      <c r="F191">
        <v>3</v>
      </c>
      <c r="G191">
        <v>2793600</v>
      </c>
      <c r="H191">
        <v>62080000</v>
      </c>
      <c r="I191">
        <v>51200000</v>
      </c>
      <c r="J191">
        <v>10880000</v>
      </c>
      <c r="K191" t="s">
        <v>32</v>
      </c>
    </row>
    <row r="192" spans="1:11" x14ac:dyDescent="0.3">
      <c r="A192">
        <v>45117</v>
      </c>
      <c r="B192" t="s">
        <v>12</v>
      </c>
      <c r="C192" t="s">
        <v>14</v>
      </c>
      <c r="D192">
        <v>3</v>
      </c>
      <c r="E192">
        <v>17000000</v>
      </c>
      <c r="F192">
        <v>3</v>
      </c>
      <c r="G192">
        <v>2968200</v>
      </c>
      <c r="H192">
        <v>49470000</v>
      </c>
      <c r="I192">
        <v>40800000</v>
      </c>
      <c r="J192">
        <v>8670000</v>
      </c>
      <c r="K192" t="s">
        <v>32</v>
      </c>
    </row>
    <row r="193" spans="1:11" x14ac:dyDescent="0.3">
      <c r="A193">
        <v>45118</v>
      </c>
      <c r="B193" t="s">
        <v>15</v>
      </c>
      <c r="C193" t="s">
        <v>13</v>
      </c>
      <c r="D193">
        <v>1</v>
      </c>
      <c r="E193">
        <v>18000000</v>
      </c>
      <c r="F193">
        <v>2</v>
      </c>
      <c r="G193">
        <v>3175200</v>
      </c>
      <c r="H193">
        <v>17640000</v>
      </c>
      <c r="I193">
        <v>14400000</v>
      </c>
      <c r="J193">
        <v>3240000</v>
      </c>
      <c r="K193" t="s">
        <v>32</v>
      </c>
    </row>
    <row r="194" spans="1:11" x14ac:dyDescent="0.3">
      <c r="A194">
        <v>45119</v>
      </c>
      <c r="B194" t="s">
        <v>12</v>
      </c>
      <c r="C194" t="s">
        <v>17</v>
      </c>
      <c r="D194">
        <v>1</v>
      </c>
      <c r="E194">
        <v>17000000</v>
      </c>
      <c r="F194">
        <v>5</v>
      </c>
      <c r="G194">
        <v>2907000</v>
      </c>
      <c r="H194">
        <v>16150000</v>
      </c>
      <c r="I194">
        <v>13600000</v>
      </c>
      <c r="J194">
        <v>2550000</v>
      </c>
      <c r="K194" t="s">
        <v>32</v>
      </c>
    </row>
    <row r="195" spans="1:11" x14ac:dyDescent="0.3">
      <c r="A195">
        <v>45120</v>
      </c>
      <c r="B195" t="s">
        <v>10</v>
      </c>
      <c r="C195" t="s">
        <v>14</v>
      </c>
      <c r="D195">
        <v>4</v>
      </c>
      <c r="E195">
        <v>9000000</v>
      </c>
      <c r="F195">
        <v>5</v>
      </c>
      <c r="G195">
        <v>1539000</v>
      </c>
      <c r="H195">
        <v>34200000</v>
      </c>
      <c r="I195">
        <v>28800000</v>
      </c>
      <c r="J195">
        <v>5400000</v>
      </c>
      <c r="K195" t="s">
        <v>32</v>
      </c>
    </row>
    <row r="196" spans="1:11" x14ac:dyDescent="0.3">
      <c r="A196">
        <v>45121</v>
      </c>
      <c r="B196" t="s">
        <v>12</v>
      </c>
      <c r="C196" t="s">
        <v>18</v>
      </c>
      <c r="D196">
        <v>4</v>
      </c>
      <c r="E196">
        <v>17000000</v>
      </c>
      <c r="F196">
        <v>3</v>
      </c>
      <c r="G196">
        <v>2968200</v>
      </c>
      <c r="H196">
        <v>65960000</v>
      </c>
      <c r="I196">
        <v>54400000</v>
      </c>
      <c r="J196">
        <v>11560000</v>
      </c>
      <c r="K196" t="s">
        <v>32</v>
      </c>
    </row>
    <row r="197" spans="1:11" x14ac:dyDescent="0.3">
      <c r="A197">
        <v>45122</v>
      </c>
      <c r="B197" t="s">
        <v>19</v>
      </c>
      <c r="C197" t="s">
        <v>17</v>
      </c>
      <c r="D197">
        <v>4</v>
      </c>
      <c r="E197">
        <v>15000000</v>
      </c>
      <c r="F197">
        <v>3</v>
      </c>
      <c r="G197">
        <v>2619000</v>
      </c>
      <c r="H197">
        <v>58200000</v>
      </c>
      <c r="I197">
        <v>48000000</v>
      </c>
      <c r="J197">
        <v>10200000</v>
      </c>
      <c r="K197" t="s">
        <v>32</v>
      </c>
    </row>
    <row r="198" spans="1:11" x14ac:dyDescent="0.3">
      <c r="A198">
        <v>45123</v>
      </c>
      <c r="B198" t="s">
        <v>16</v>
      </c>
      <c r="C198" t="s">
        <v>18</v>
      </c>
      <c r="D198">
        <v>2</v>
      </c>
      <c r="E198">
        <v>16000000</v>
      </c>
      <c r="F198">
        <v>2</v>
      </c>
      <c r="G198">
        <v>2822400</v>
      </c>
      <c r="H198">
        <v>31360000</v>
      </c>
      <c r="I198">
        <v>25600000</v>
      </c>
      <c r="J198">
        <v>5760000</v>
      </c>
      <c r="K198" t="s">
        <v>32</v>
      </c>
    </row>
    <row r="199" spans="1:11" x14ac:dyDescent="0.3">
      <c r="A199">
        <v>45124</v>
      </c>
      <c r="B199" t="s">
        <v>19</v>
      </c>
      <c r="C199" t="s">
        <v>18</v>
      </c>
      <c r="D199">
        <v>4</v>
      </c>
      <c r="E199">
        <v>15000000</v>
      </c>
      <c r="F199">
        <v>3</v>
      </c>
      <c r="G199">
        <v>2619000</v>
      </c>
      <c r="H199">
        <v>58200000</v>
      </c>
      <c r="I199">
        <v>48000000</v>
      </c>
      <c r="J199">
        <v>10200000</v>
      </c>
      <c r="K199" t="s">
        <v>32</v>
      </c>
    </row>
    <row r="200" spans="1:11" x14ac:dyDescent="0.3">
      <c r="A200">
        <v>45125</v>
      </c>
      <c r="B200" t="s">
        <v>15</v>
      </c>
      <c r="C200" t="s">
        <v>14</v>
      </c>
      <c r="D200">
        <v>1</v>
      </c>
      <c r="E200">
        <v>18000000</v>
      </c>
      <c r="F200">
        <v>5</v>
      </c>
      <c r="G200">
        <v>3078000</v>
      </c>
      <c r="H200">
        <v>17100000</v>
      </c>
      <c r="I200">
        <v>14400000</v>
      </c>
      <c r="J200">
        <v>2700000</v>
      </c>
      <c r="K200" t="s">
        <v>32</v>
      </c>
    </row>
    <row r="201" spans="1:11" x14ac:dyDescent="0.3">
      <c r="A201">
        <v>45126</v>
      </c>
      <c r="B201" t="s">
        <v>12</v>
      </c>
      <c r="C201" t="s">
        <v>13</v>
      </c>
      <c r="D201">
        <v>3</v>
      </c>
      <c r="E201">
        <v>17000000</v>
      </c>
      <c r="F201">
        <v>2</v>
      </c>
      <c r="G201">
        <v>2998800</v>
      </c>
      <c r="H201">
        <v>49980000</v>
      </c>
      <c r="I201">
        <v>40800000</v>
      </c>
      <c r="J201">
        <v>9180000</v>
      </c>
      <c r="K201" t="s">
        <v>32</v>
      </c>
    </row>
    <row r="202" spans="1:11" x14ac:dyDescent="0.3">
      <c r="A202">
        <v>45127</v>
      </c>
      <c r="B202" t="s">
        <v>10</v>
      </c>
      <c r="C202" t="s">
        <v>18</v>
      </c>
      <c r="D202">
        <v>1</v>
      </c>
      <c r="E202">
        <v>9000000</v>
      </c>
      <c r="F202">
        <v>6</v>
      </c>
      <c r="G202">
        <v>1522800</v>
      </c>
      <c r="H202">
        <v>8460000</v>
      </c>
      <c r="I202">
        <v>7200000</v>
      </c>
      <c r="J202">
        <v>1260000</v>
      </c>
      <c r="K202" t="s">
        <v>32</v>
      </c>
    </row>
    <row r="203" spans="1:11" x14ac:dyDescent="0.3">
      <c r="A203">
        <v>45128</v>
      </c>
      <c r="B203" t="s">
        <v>12</v>
      </c>
      <c r="C203" t="s">
        <v>11</v>
      </c>
      <c r="D203">
        <v>1</v>
      </c>
      <c r="E203">
        <v>17000000</v>
      </c>
      <c r="F203">
        <v>2</v>
      </c>
      <c r="G203">
        <v>2998800</v>
      </c>
      <c r="H203">
        <v>16660000</v>
      </c>
      <c r="I203">
        <v>13600000</v>
      </c>
      <c r="J203">
        <v>3060000</v>
      </c>
      <c r="K203" t="s">
        <v>32</v>
      </c>
    </row>
    <row r="204" spans="1:11" x14ac:dyDescent="0.3">
      <c r="A204">
        <v>45129</v>
      </c>
      <c r="B204" t="s">
        <v>12</v>
      </c>
      <c r="C204" t="s">
        <v>17</v>
      </c>
      <c r="D204">
        <v>2</v>
      </c>
      <c r="E204">
        <v>17000000</v>
      </c>
      <c r="F204">
        <v>5</v>
      </c>
      <c r="G204">
        <v>2907000</v>
      </c>
      <c r="H204">
        <v>32300000</v>
      </c>
      <c r="I204">
        <v>27200000</v>
      </c>
      <c r="J204">
        <v>5100000</v>
      </c>
      <c r="K204" t="s">
        <v>32</v>
      </c>
    </row>
    <row r="205" spans="1:11" x14ac:dyDescent="0.3">
      <c r="A205">
        <v>45130</v>
      </c>
      <c r="B205" t="s">
        <v>10</v>
      </c>
      <c r="C205" t="s">
        <v>17</v>
      </c>
      <c r="D205">
        <v>3</v>
      </c>
      <c r="E205">
        <v>9000000</v>
      </c>
      <c r="F205">
        <v>4</v>
      </c>
      <c r="G205">
        <v>1555200</v>
      </c>
      <c r="H205">
        <v>25920000</v>
      </c>
      <c r="I205">
        <v>21600000</v>
      </c>
      <c r="J205">
        <v>4320000</v>
      </c>
      <c r="K205" t="s">
        <v>32</v>
      </c>
    </row>
    <row r="206" spans="1:11" x14ac:dyDescent="0.3">
      <c r="A206">
        <v>45131</v>
      </c>
      <c r="B206" t="s">
        <v>12</v>
      </c>
      <c r="C206" t="s">
        <v>13</v>
      </c>
      <c r="D206">
        <v>1</v>
      </c>
      <c r="E206">
        <v>17000000</v>
      </c>
      <c r="F206">
        <v>4</v>
      </c>
      <c r="G206">
        <v>2937600</v>
      </c>
      <c r="H206">
        <v>16320000</v>
      </c>
      <c r="I206">
        <v>13600000</v>
      </c>
      <c r="J206">
        <v>2720000</v>
      </c>
      <c r="K206" t="s">
        <v>32</v>
      </c>
    </row>
    <row r="207" spans="1:11" x14ac:dyDescent="0.3">
      <c r="A207">
        <v>45132</v>
      </c>
      <c r="B207" t="s">
        <v>19</v>
      </c>
      <c r="C207" t="s">
        <v>14</v>
      </c>
      <c r="D207">
        <v>2</v>
      </c>
      <c r="E207">
        <v>15000000</v>
      </c>
      <c r="F207">
        <v>6</v>
      </c>
      <c r="G207">
        <v>2538000</v>
      </c>
      <c r="H207">
        <v>28200000</v>
      </c>
      <c r="I207">
        <v>24000000</v>
      </c>
      <c r="J207">
        <v>4200000</v>
      </c>
      <c r="K207" t="s">
        <v>32</v>
      </c>
    </row>
    <row r="208" spans="1:11" x14ac:dyDescent="0.3">
      <c r="A208">
        <v>45133</v>
      </c>
      <c r="B208" t="s">
        <v>10</v>
      </c>
      <c r="C208" t="s">
        <v>17</v>
      </c>
      <c r="D208">
        <v>3</v>
      </c>
      <c r="E208">
        <v>9000000</v>
      </c>
      <c r="F208">
        <v>6</v>
      </c>
      <c r="G208">
        <v>1522800</v>
      </c>
      <c r="H208">
        <v>25380000</v>
      </c>
      <c r="I208">
        <v>21600000</v>
      </c>
      <c r="J208">
        <v>3780000</v>
      </c>
      <c r="K208" t="s">
        <v>32</v>
      </c>
    </row>
    <row r="209" spans="1:11" x14ac:dyDescent="0.3">
      <c r="A209">
        <v>45134</v>
      </c>
      <c r="B209" t="s">
        <v>15</v>
      </c>
      <c r="C209" t="s">
        <v>17</v>
      </c>
      <c r="D209">
        <v>1</v>
      </c>
      <c r="E209">
        <v>18000000</v>
      </c>
      <c r="F209">
        <v>4</v>
      </c>
      <c r="G209">
        <v>3110400</v>
      </c>
      <c r="H209">
        <v>17280000</v>
      </c>
      <c r="I209">
        <v>14400000</v>
      </c>
      <c r="J209">
        <v>2880000</v>
      </c>
      <c r="K209" t="s">
        <v>32</v>
      </c>
    </row>
    <row r="210" spans="1:11" x14ac:dyDescent="0.3">
      <c r="A210">
        <v>45135</v>
      </c>
      <c r="B210" t="s">
        <v>16</v>
      </c>
      <c r="C210" t="s">
        <v>14</v>
      </c>
      <c r="D210">
        <v>1</v>
      </c>
      <c r="E210">
        <v>16000000</v>
      </c>
      <c r="F210">
        <v>3</v>
      </c>
      <c r="G210">
        <v>2793600</v>
      </c>
      <c r="H210">
        <v>15520000</v>
      </c>
      <c r="I210">
        <v>12800000</v>
      </c>
      <c r="J210">
        <v>2720000</v>
      </c>
      <c r="K210" t="s">
        <v>32</v>
      </c>
    </row>
    <row r="211" spans="1:11" x14ac:dyDescent="0.3">
      <c r="A211">
        <v>45136</v>
      </c>
      <c r="B211" t="s">
        <v>19</v>
      </c>
      <c r="C211" t="s">
        <v>17</v>
      </c>
      <c r="D211">
        <v>2</v>
      </c>
      <c r="E211">
        <v>15000000</v>
      </c>
      <c r="F211">
        <v>4</v>
      </c>
      <c r="G211">
        <v>2592000</v>
      </c>
      <c r="H211">
        <v>28800000</v>
      </c>
      <c r="I211">
        <v>24000000</v>
      </c>
      <c r="J211">
        <v>4800000</v>
      </c>
      <c r="K211" t="s">
        <v>32</v>
      </c>
    </row>
    <row r="212" spans="1:11" x14ac:dyDescent="0.3">
      <c r="A212">
        <v>45137</v>
      </c>
      <c r="B212" t="s">
        <v>16</v>
      </c>
      <c r="C212" t="s">
        <v>17</v>
      </c>
      <c r="D212">
        <v>3</v>
      </c>
      <c r="E212">
        <v>16000000</v>
      </c>
      <c r="F212">
        <v>5</v>
      </c>
      <c r="G212">
        <v>2736000</v>
      </c>
      <c r="H212">
        <v>45600000</v>
      </c>
      <c r="I212">
        <v>38400000</v>
      </c>
      <c r="J212">
        <v>7200000</v>
      </c>
      <c r="K212" t="s">
        <v>32</v>
      </c>
    </row>
    <row r="213" spans="1:11" x14ac:dyDescent="0.3">
      <c r="A213">
        <v>45138</v>
      </c>
      <c r="B213" t="s">
        <v>10</v>
      </c>
      <c r="C213" t="s">
        <v>18</v>
      </c>
      <c r="D213">
        <v>4</v>
      </c>
      <c r="E213">
        <v>9000000</v>
      </c>
      <c r="F213">
        <v>2</v>
      </c>
      <c r="G213">
        <v>1587600</v>
      </c>
      <c r="H213">
        <v>35280000</v>
      </c>
      <c r="I213">
        <v>28800000</v>
      </c>
      <c r="J213">
        <v>6480000</v>
      </c>
      <c r="K213" t="s">
        <v>32</v>
      </c>
    </row>
    <row r="214" spans="1:11" x14ac:dyDescent="0.3">
      <c r="A214">
        <v>45139</v>
      </c>
      <c r="B214" t="s">
        <v>10</v>
      </c>
      <c r="C214" t="s">
        <v>18</v>
      </c>
      <c r="D214">
        <v>4</v>
      </c>
      <c r="E214">
        <v>9000000</v>
      </c>
      <c r="F214">
        <v>6</v>
      </c>
      <c r="G214">
        <v>1522800</v>
      </c>
      <c r="H214">
        <v>33840000</v>
      </c>
      <c r="I214">
        <v>28800000</v>
      </c>
      <c r="J214">
        <v>5040000</v>
      </c>
      <c r="K214" t="s">
        <v>33</v>
      </c>
    </row>
    <row r="215" spans="1:11" x14ac:dyDescent="0.3">
      <c r="A215">
        <v>45140</v>
      </c>
      <c r="B215" t="s">
        <v>16</v>
      </c>
      <c r="C215" t="s">
        <v>13</v>
      </c>
      <c r="D215">
        <v>4</v>
      </c>
      <c r="E215">
        <v>16000000</v>
      </c>
      <c r="F215">
        <v>6</v>
      </c>
      <c r="G215">
        <v>2707200</v>
      </c>
      <c r="H215">
        <v>60160000</v>
      </c>
      <c r="I215">
        <v>51200000</v>
      </c>
      <c r="J215">
        <v>8960000</v>
      </c>
      <c r="K215" t="s">
        <v>33</v>
      </c>
    </row>
    <row r="216" spans="1:11" x14ac:dyDescent="0.3">
      <c r="A216">
        <v>45141</v>
      </c>
      <c r="B216" t="s">
        <v>19</v>
      </c>
      <c r="C216" t="s">
        <v>18</v>
      </c>
      <c r="D216">
        <v>3</v>
      </c>
      <c r="E216">
        <v>15000000</v>
      </c>
      <c r="F216">
        <v>6</v>
      </c>
      <c r="G216">
        <v>2538000</v>
      </c>
      <c r="H216">
        <v>42300000</v>
      </c>
      <c r="I216">
        <v>36000000</v>
      </c>
      <c r="J216">
        <v>6300000</v>
      </c>
      <c r="K216" t="s">
        <v>33</v>
      </c>
    </row>
    <row r="217" spans="1:11" x14ac:dyDescent="0.3">
      <c r="A217">
        <v>45142</v>
      </c>
      <c r="B217" t="s">
        <v>16</v>
      </c>
      <c r="C217" t="s">
        <v>13</v>
      </c>
      <c r="D217">
        <v>3</v>
      </c>
      <c r="E217">
        <v>16000000</v>
      </c>
      <c r="F217">
        <v>2</v>
      </c>
      <c r="G217">
        <v>2822400</v>
      </c>
      <c r="H217">
        <v>47040000</v>
      </c>
      <c r="I217">
        <v>38400000</v>
      </c>
      <c r="J217">
        <v>8640000</v>
      </c>
      <c r="K217" t="s">
        <v>33</v>
      </c>
    </row>
    <row r="218" spans="1:11" x14ac:dyDescent="0.3">
      <c r="A218">
        <v>45143</v>
      </c>
      <c r="B218" t="s">
        <v>16</v>
      </c>
      <c r="C218" t="s">
        <v>13</v>
      </c>
      <c r="D218">
        <v>1</v>
      </c>
      <c r="E218">
        <v>16000000</v>
      </c>
      <c r="F218">
        <v>5</v>
      </c>
      <c r="G218">
        <v>2736000</v>
      </c>
      <c r="H218">
        <v>15200000</v>
      </c>
      <c r="I218">
        <v>12800000</v>
      </c>
      <c r="J218">
        <v>2400000</v>
      </c>
      <c r="K218" t="s">
        <v>33</v>
      </c>
    </row>
    <row r="219" spans="1:11" x14ac:dyDescent="0.3">
      <c r="A219">
        <v>45144</v>
      </c>
      <c r="B219" t="s">
        <v>15</v>
      </c>
      <c r="C219" t="s">
        <v>11</v>
      </c>
      <c r="D219">
        <v>4</v>
      </c>
      <c r="E219">
        <v>18000000</v>
      </c>
      <c r="F219">
        <v>3</v>
      </c>
      <c r="G219">
        <v>3142800</v>
      </c>
      <c r="H219">
        <v>69840000</v>
      </c>
      <c r="I219">
        <v>57600000</v>
      </c>
      <c r="J219">
        <v>12240000</v>
      </c>
      <c r="K219" t="s">
        <v>33</v>
      </c>
    </row>
    <row r="220" spans="1:11" x14ac:dyDescent="0.3">
      <c r="A220">
        <v>45145</v>
      </c>
      <c r="B220" t="s">
        <v>15</v>
      </c>
      <c r="C220" t="s">
        <v>13</v>
      </c>
      <c r="D220">
        <v>3</v>
      </c>
      <c r="E220">
        <v>18000000</v>
      </c>
      <c r="F220">
        <v>6</v>
      </c>
      <c r="G220">
        <v>3045600</v>
      </c>
      <c r="H220">
        <v>50760000</v>
      </c>
      <c r="I220">
        <v>43200000</v>
      </c>
      <c r="J220">
        <v>7560000</v>
      </c>
      <c r="K220" t="s">
        <v>33</v>
      </c>
    </row>
    <row r="221" spans="1:11" x14ac:dyDescent="0.3">
      <c r="A221">
        <v>45146</v>
      </c>
      <c r="B221" t="s">
        <v>12</v>
      </c>
      <c r="C221" t="s">
        <v>14</v>
      </c>
      <c r="D221">
        <v>4</v>
      </c>
      <c r="E221">
        <v>17000000</v>
      </c>
      <c r="F221">
        <v>5</v>
      </c>
      <c r="G221">
        <v>2907000</v>
      </c>
      <c r="H221">
        <v>64600000</v>
      </c>
      <c r="I221">
        <v>54400000</v>
      </c>
      <c r="J221">
        <v>10200000</v>
      </c>
      <c r="K221" t="s">
        <v>33</v>
      </c>
    </row>
    <row r="222" spans="1:11" x14ac:dyDescent="0.3">
      <c r="A222">
        <v>45147</v>
      </c>
      <c r="B222" t="s">
        <v>19</v>
      </c>
      <c r="C222" t="s">
        <v>17</v>
      </c>
      <c r="D222">
        <v>1</v>
      </c>
      <c r="E222">
        <v>15000000</v>
      </c>
      <c r="F222">
        <v>3</v>
      </c>
      <c r="G222">
        <v>2619000</v>
      </c>
      <c r="H222">
        <v>14550000</v>
      </c>
      <c r="I222">
        <v>12000000</v>
      </c>
      <c r="J222">
        <v>2550000</v>
      </c>
      <c r="K222" t="s">
        <v>33</v>
      </c>
    </row>
    <row r="223" spans="1:11" x14ac:dyDescent="0.3">
      <c r="A223">
        <v>45148</v>
      </c>
      <c r="B223" t="s">
        <v>16</v>
      </c>
      <c r="C223" t="s">
        <v>11</v>
      </c>
      <c r="D223">
        <v>4</v>
      </c>
      <c r="E223">
        <v>16000000</v>
      </c>
      <c r="F223">
        <v>4</v>
      </c>
      <c r="G223">
        <v>2764800</v>
      </c>
      <c r="H223">
        <v>61440000</v>
      </c>
      <c r="I223">
        <v>51200000</v>
      </c>
      <c r="J223">
        <v>10240000</v>
      </c>
      <c r="K223" t="s">
        <v>33</v>
      </c>
    </row>
    <row r="224" spans="1:11" x14ac:dyDescent="0.3">
      <c r="A224">
        <v>45149</v>
      </c>
      <c r="B224" t="s">
        <v>15</v>
      </c>
      <c r="C224" t="s">
        <v>18</v>
      </c>
      <c r="D224">
        <v>2</v>
      </c>
      <c r="E224">
        <v>18000000</v>
      </c>
      <c r="F224">
        <v>4</v>
      </c>
      <c r="G224">
        <v>3110400</v>
      </c>
      <c r="H224">
        <v>34560000</v>
      </c>
      <c r="I224">
        <v>28800000</v>
      </c>
      <c r="J224">
        <v>5760000</v>
      </c>
      <c r="K224" t="s">
        <v>33</v>
      </c>
    </row>
    <row r="225" spans="1:11" x14ac:dyDescent="0.3">
      <c r="A225">
        <v>45150</v>
      </c>
      <c r="B225" t="s">
        <v>16</v>
      </c>
      <c r="C225" t="s">
        <v>11</v>
      </c>
      <c r="D225">
        <v>1</v>
      </c>
      <c r="E225">
        <v>16000000</v>
      </c>
      <c r="F225">
        <v>2</v>
      </c>
      <c r="G225">
        <v>2822400</v>
      </c>
      <c r="H225">
        <v>15680000</v>
      </c>
      <c r="I225">
        <v>12800000</v>
      </c>
      <c r="J225">
        <v>2880000</v>
      </c>
      <c r="K225" t="s">
        <v>33</v>
      </c>
    </row>
    <row r="226" spans="1:11" x14ac:dyDescent="0.3">
      <c r="A226">
        <v>45151</v>
      </c>
      <c r="B226" t="s">
        <v>19</v>
      </c>
      <c r="C226" t="s">
        <v>17</v>
      </c>
      <c r="D226">
        <v>4</v>
      </c>
      <c r="E226">
        <v>15000000</v>
      </c>
      <c r="F226">
        <v>3</v>
      </c>
      <c r="G226">
        <v>2619000</v>
      </c>
      <c r="H226">
        <v>58200000</v>
      </c>
      <c r="I226">
        <v>48000000</v>
      </c>
      <c r="J226">
        <v>10200000</v>
      </c>
      <c r="K226" t="s">
        <v>33</v>
      </c>
    </row>
    <row r="227" spans="1:11" x14ac:dyDescent="0.3">
      <c r="A227">
        <v>45152</v>
      </c>
      <c r="B227" t="s">
        <v>19</v>
      </c>
      <c r="C227" t="s">
        <v>14</v>
      </c>
      <c r="D227">
        <v>1</v>
      </c>
      <c r="E227">
        <v>15000000</v>
      </c>
      <c r="F227">
        <v>4</v>
      </c>
      <c r="G227">
        <v>2592000</v>
      </c>
      <c r="H227">
        <v>14400000</v>
      </c>
      <c r="I227">
        <v>12000000</v>
      </c>
      <c r="J227">
        <v>2400000</v>
      </c>
      <c r="K227" t="s">
        <v>33</v>
      </c>
    </row>
    <row r="228" spans="1:11" x14ac:dyDescent="0.3">
      <c r="A228">
        <v>45153</v>
      </c>
      <c r="B228" t="s">
        <v>10</v>
      </c>
      <c r="C228" t="s">
        <v>17</v>
      </c>
      <c r="D228">
        <v>1</v>
      </c>
      <c r="E228">
        <v>9000000</v>
      </c>
      <c r="F228">
        <v>6</v>
      </c>
      <c r="G228">
        <v>1522800</v>
      </c>
      <c r="H228">
        <v>8460000</v>
      </c>
      <c r="I228">
        <v>7200000</v>
      </c>
      <c r="J228">
        <v>1260000</v>
      </c>
      <c r="K228" t="s">
        <v>33</v>
      </c>
    </row>
    <row r="229" spans="1:11" x14ac:dyDescent="0.3">
      <c r="A229">
        <v>45154</v>
      </c>
      <c r="B229" t="s">
        <v>19</v>
      </c>
      <c r="C229" t="s">
        <v>13</v>
      </c>
      <c r="D229">
        <v>2</v>
      </c>
      <c r="E229">
        <v>15000000</v>
      </c>
      <c r="F229">
        <v>4</v>
      </c>
      <c r="G229">
        <v>2592000</v>
      </c>
      <c r="H229">
        <v>28800000</v>
      </c>
      <c r="I229">
        <v>24000000</v>
      </c>
      <c r="J229">
        <v>4800000</v>
      </c>
      <c r="K229" t="s">
        <v>33</v>
      </c>
    </row>
    <row r="230" spans="1:11" x14ac:dyDescent="0.3">
      <c r="A230">
        <v>45155</v>
      </c>
      <c r="B230" t="s">
        <v>16</v>
      </c>
      <c r="C230" t="s">
        <v>11</v>
      </c>
      <c r="D230">
        <v>1</v>
      </c>
      <c r="E230">
        <v>16000000</v>
      </c>
      <c r="F230">
        <v>6</v>
      </c>
      <c r="G230">
        <v>2707200</v>
      </c>
      <c r="H230">
        <v>15040000</v>
      </c>
      <c r="I230">
        <v>12800000</v>
      </c>
      <c r="J230">
        <v>2240000</v>
      </c>
      <c r="K230" t="s">
        <v>33</v>
      </c>
    </row>
    <row r="231" spans="1:11" x14ac:dyDescent="0.3">
      <c r="A231">
        <v>45156</v>
      </c>
      <c r="B231" t="s">
        <v>10</v>
      </c>
      <c r="C231" t="s">
        <v>11</v>
      </c>
      <c r="D231">
        <v>4</v>
      </c>
      <c r="E231">
        <v>9000000</v>
      </c>
      <c r="F231">
        <v>5</v>
      </c>
      <c r="G231">
        <v>1539000</v>
      </c>
      <c r="H231">
        <v>34200000</v>
      </c>
      <c r="I231">
        <v>28800000</v>
      </c>
      <c r="J231">
        <v>5400000</v>
      </c>
      <c r="K231" t="s">
        <v>33</v>
      </c>
    </row>
    <row r="232" spans="1:11" x14ac:dyDescent="0.3">
      <c r="A232">
        <v>45157</v>
      </c>
      <c r="B232" t="s">
        <v>15</v>
      </c>
      <c r="C232" t="s">
        <v>18</v>
      </c>
      <c r="D232">
        <v>2</v>
      </c>
      <c r="E232">
        <v>18000000</v>
      </c>
      <c r="F232">
        <v>2</v>
      </c>
      <c r="G232">
        <v>3175200</v>
      </c>
      <c r="H232">
        <v>35280000</v>
      </c>
      <c r="I232">
        <v>28800000</v>
      </c>
      <c r="J232">
        <v>6480000</v>
      </c>
      <c r="K232" t="s">
        <v>33</v>
      </c>
    </row>
    <row r="233" spans="1:11" x14ac:dyDescent="0.3">
      <c r="A233">
        <v>45158</v>
      </c>
      <c r="B233" t="s">
        <v>15</v>
      </c>
      <c r="C233" t="s">
        <v>14</v>
      </c>
      <c r="D233">
        <v>3</v>
      </c>
      <c r="E233">
        <v>18000000</v>
      </c>
      <c r="F233">
        <v>5</v>
      </c>
      <c r="G233">
        <v>3078000</v>
      </c>
      <c r="H233">
        <v>51300000</v>
      </c>
      <c r="I233">
        <v>43200000</v>
      </c>
      <c r="J233">
        <v>8100000</v>
      </c>
      <c r="K233" t="s">
        <v>33</v>
      </c>
    </row>
    <row r="234" spans="1:11" x14ac:dyDescent="0.3">
      <c r="A234">
        <v>45159</v>
      </c>
      <c r="B234" t="s">
        <v>16</v>
      </c>
      <c r="C234" t="s">
        <v>14</v>
      </c>
      <c r="D234">
        <v>4</v>
      </c>
      <c r="E234">
        <v>16000000</v>
      </c>
      <c r="F234">
        <v>5</v>
      </c>
      <c r="G234">
        <v>2736000</v>
      </c>
      <c r="H234">
        <v>60800000</v>
      </c>
      <c r="I234">
        <v>51200000</v>
      </c>
      <c r="J234">
        <v>9600000</v>
      </c>
      <c r="K234" t="s">
        <v>33</v>
      </c>
    </row>
    <row r="235" spans="1:11" x14ac:dyDescent="0.3">
      <c r="A235">
        <v>45160</v>
      </c>
      <c r="B235" t="s">
        <v>12</v>
      </c>
      <c r="C235" t="s">
        <v>18</v>
      </c>
      <c r="D235">
        <v>4</v>
      </c>
      <c r="E235">
        <v>17000000</v>
      </c>
      <c r="F235">
        <v>3</v>
      </c>
      <c r="G235">
        <v>2968200</v>
      </c>
      <c r="H235">
        <v>65960000</v>
      </c>
      <c r="I235">
        <v>54400000</v>
      </c>
      <c r="J235">
        <v>11560000</v>
      </c>
      <c r="K235" t="s">
        <v>33</v>
      </c>
    </row>
    <row r="236" spans="1:11" x14ac:dyDescent="0.3">
      <c r="A236">
        <v>45161</v>
      </c>
      <c r="B236" t="s">
        <v>16</v>
      </c>
      <c r="C236" t="s">
        <v>14</v>
      </c>
      <c r="D236">
        <v>2</v>
      </c>
      <c r="E236">
        <v>16000000</v>
      </c>
      <c r="F236">
        <v>3</v>
      </c>
      <c r="G236">
        <v>2793600</v>
      </c>
      <c r="H236">
        <v>31040000</v>
      </c>
      <c r="I236">
        <v>25600000</v>
      </c>
      <c r="J236">
        <v>5440000</v>
      </c>
      <c r="K236" t="s">
        <v>33</v>
      </c>
    </row>
    <row r="237" spans="1:11" x14ac:dyDescent="0.3">
      <c r="A237">
        <v>45162</v>
      </c>
      <c r="B237" t="s">
        <v>19</v>
      </c>
      <c r="C237" t="s">
        <v>18</v>
      </c>
      <c r="D237">
        <v>2</v>
      </c>
      <c r="E237">
        <v>15000000</v>
      </c>
      <c r="F237">
        <v>3</v>
      </c>
      <c r="G237">
        <v>2619000</v>
      </c>
      <c r="H237">
        <v>29100000</v>
      </c>
      <c r="I237">
        <v>24000000</v>
      </c>
      <c r="J237">
        <v>5100000</v>
      </c>
      <c r="K237" t="s">
        <v>33</v>
      </c>
    </row>
    <row r="238" spans="1:11" x14ac:dyDescent="0.3">
      <c r="A238">
        <v>45163</v>
      </c>
      <c r="B238" t="s">
        <v>10</v>
      </c>
      <c r="C238" t="s">
        <v>18</v>
      </c>
      <c r="D238">
        <v>3</v>
      </c>
      <c r="E238">
        <v>9000000</v>
      </c>
      <c r="F238">
        <v>2</v>
      </c>
      <c r="G238">
        <v>1587600</v>
      </c>
      <c r="H238">
        <v>26460000</v>
      </c>
      <c r="I238">
        <v>21600000</v>
      </c>
      <c r="J238">
        <v>4860000</v>
      </c>
      <c r="K238" t="s">
        <v>33</v>
      </c>
    </row>
    <row r="239" spans="1:11" x14ac:dyDescent="0.3">
      <c r="A239">
        <v>45164</v>
      </c>
      <c r="B239" t="s">
        <v>15</v>
      </c>
      <c r="C239" t="s">
        <v>13</v>
      </c>
      <c r="D239">
        <v>2</v>
      </c>
      <c r="E239">
        <v>18000000</v>
      </c>
      <c r="F239">
        <v>2</v>
      </c>
      <c r="G239">
        <v>3175200</v>
      </c>
      <c r="H239">
        <v>35280000</v>
      </c>
      <c r="I239">
        <v>28800000</v>
      </c>
      <c r="J239">
        <v>6480000</v>
      </c>
      <c r="K239" t="s">
        <v>33</v>
      </c>
    </row>
    <row r="240" spans="1:11" x14ac:dyDescent="0.3">
      <c r="A240">
        <v>45165</v>
      </c>
      <c r="B240" t="s">
        <v>15</v>
      </c>
      <c r="C240" t="s">
        <v>18</v>
      </c>
      <c r="D240">
        <v>1</v>
      </c>
      <c r="E240">
        <v>18000000</v>
      </c>
      <c r="F240">
        <v>4</v>
      </c>
      <c r="G240">
        <v>3110400</v>
      </c>
      <c r="H240">
        <v>17280000</v>
      </c>
      <c r="I240">
        <v>14400000</v>
      </c>
      <c r="J240">
        <v>2880000</v>
      </c>
      <c r="K240" t="s">
        <v>33</v>
      </c>
    </row>
    <row r="241" spans="1:11" x14ac:dyDescent="0.3">
      <c r="A241">
        <v>45166</v>
      </c>
      <c r="B241" t="s">
        <v>19</v>
      </c>
      <c r="C241" t="s">
        <v>18</v>
      </c>
      <c r="D241">
        <v>1</v>
      </c>
      <c r="E241">
        <v>15000000</v>
      </c>
      <c r="F241">
        <v>6</v>
      </c>
      <c r="G241">
        <v>2538000</v>
      </c>
      <c r="H241">
        <v>14100000</v>
      </c>
      <c r="I241">
        <v>12000000</v>
      </c>
      <c r="J241">
        <v>2100000</v>
      </c>
      <c r="K241" t="s">
        <v>33</v>
      </c>
    </row>
    <row r="242" spans="1:11" x14ac:dyDescent="0.3">
      <c r="A242">
        <v>45167</v>
      </c>
      <c r="B242" t="s">
        <v>10</v>
      </c>
      <c r="C242" t="s">
        <v>18</v>
      </c>
      <c r="D242">
        <v>1</v>
      </c>
      <c r="E242">
        <v>9000000</v>
      </c>
      <c r="F242">
        <v>3</v>
      </c>
      <c r="G242">
        <v>1571400</v>
      </c>
      <c r="H242">
        <v>8730000</v>
      </c>
      <c r="I242">
        <v>7200000</v>
      </c>
      <c r="J242">
        <v>1530000</v>
      </c>
      <c r="K242" t="s">
        <v>33</v>
      </c>
    </row>
    <row r="243" spans="1:11" x14ac:dyDescent="0.3">
      <c r="A243">
        <v>45168</v>
      </c>
      <c r="B243" t="s">
        <v>19</v>
      </c>
      <c r="C243" t="s">
        <v>11</v>
      </c>
      <c r="D243">
        <v>1</v>
      </c>
      <c r="E243">
        <v>15000000</v>
      </c>
      <c r="F243">
        <v>5</v>
      </c>
      <c r="G243">
        <v>2565000</v>
      </c>
      <c r="H243">
        <v>14250000</v>
      </c>
      <c r="I243">
        <v>12000000</v>
      </c>
      <c r="J243">
        <v>2250000</v>
      </c>
      <c r="K243" t="s">
        <v>33</v>
      </c>
    </row>
    <row r="244" spans="1:11" x14ac:dyDescent="0.3">
      <c r="A244">
        <v>45169</v>
      </c>
      <c r="B244" t="s">
        <v>16</v>
      </c>
      <c r="C244" t="s">
        <v>11</v>
      </c>
      <c r="D244">
        <v>2</v>
      </c>
      <c r="E244">
        <v>16000000</v>
      </c>
      <c r="F244">
        <v>6</v>
      </c>
      <c r="G244">
        <v>2707200</v>
      </c>
      <c r="H244">
        <v>30080000</v>
      </c>
      <c r="I244">
        <v>25600000</v>
      </c>
      <c r="J244">
        <v>4480000</v>
      </c>
      <c r="K244" t="s">
        <v>33</v>
      </c>
    </row>
    <row r="245" spans="1:11" x14ac:dyDescent="0.3">
      <c r="A245">
        <v>45170</v>
      </c>
      <c r="B245" t="s">
        <v>10</v>
      </c>
      <c r="C245" t="s">
        <v>11</v>
      </c>
      <c r="D245">
        <v>4</v>
      </c>
      <c r="E245">
        <v>9000000</v>
      </c>
      <c r="F245">
        <v>2</v>
      </c>
      <c r="G245">
        <v>1587600</v>
      </c>
      <c r="H245">
        <v>35280000</v>
      </c>
      <c r="I245">
        <v>28800000</v>
      </c>
      <c r="J245">
        <v>6480000</v>
      </c>
      <c r="K245" t="s">
        <v>34</v>
      </c>
    </row>
    <row r="246" spans="1:11" x14ac:dyDescent="0.3">
      <c r="A246">
        <v>45171</v>
      </c>
      <c r="B246" t="s">
        <v>19</v>
      </c>
      <c r="C246" t="s">
        <v>18</v>
      </c>
      <c r="D246">
        <v>4</v>
      </c>
      <c r="E246">
        <v>15000000</v>
      </c>
      <c r="F246">
        <v>6</v>
      </c>
      <c r="G246">
        <v>2538000</v>
      </c>
      <c r="H246">
        <v>56400000</v>
      </c>
      <c r="I246">
        <v>48000000</v>
      </c>
      <c r="J246">
        <v>8400000</v>
      </c>
      <c r="K246" t="s">
        <v>34</v>
      </c>
    </row>
    <row r="247" spans="1:11" x14ac:dyDescent="0.3">
      <c r="A247">
        <v>45172</v>
      </c>
      <c r="B247" t="s">
        <v>19</v>
      </c>
      <c r="C247" t="s">
        <v>11</v>
      </c>
      <c r="D247">
        <v>1</v>
      </c>
      <c r="E247">
        <v>15000000</v>
      </c>
      <c r="F247">
        <v>2</v>
      </c>
      <c r="G247">
        <v>2646000</v>
      </c>
      <c r="H247">
        <v>14700000</v>
      </c>
      <c r="I247">
        <v>12000000</v>
      </c>
      <c r="J247">
        <v>2700000</v>
      </c>
      <c r="K247" t="s">
        <v>34</v>
      </c>
    </row>
    <row r="248" spans="1:11" x14ac:dyDescent="0.3">
      <c r="A248">
        <v>45173</v>
      </c>
      <c r="B248" t="s">
        <v>12</v>
      </c>
      <c r="C248" t="s">
        <v>18</v>
      </c>
      <c r="D248">
        <v>4</v>
      </c>
      <c r="E248">
        <v>17000000</v>
      </c>
      <c r="F248">
        <v>2</v>
      </c>
      <c r="G248">
        <v>2998800</v>
      </c>
      <c r="H248">
        <v>66640000</v>
      </c>
      <c r="I248">
        <v>54400000</v>
      </c>
      <c r="J248">
        <v>12240000</v>
      </c>
      <c r="K248" t="s">
        <v>34</v>
      </c>
    </row>
    <row r="249" spans="1:11" x14ac:dyDescent="0.3">
      <c r="A249">
        <v>45174</v>
      </c>
      <c r="B249" t="s">
        <v>15</v>
      </c>
      <c r="C249" t="s">
        <v>11</v>
      </c>
      <c r="D249">
        <v>3</v>
      </c>
      <c r="E249">
        <v>18000000</v>
      </c>
      <c r="F249">
        <v>3</v>
      </c>
      <c r="G249">
        <v>3142800</v>
      </c>
      <c r="H249">
        <v>52380000</v>
      </c>
      <c r="I249">
        <v>43200000</v>
      </c>
      <c r="J249">
        <v>9180000</v>
      </c>
      <c r="K249" t="s">
        <v>34</v>
      </c>
    </row>
    <row r="250" spans="1:11" x14ac:dyDescent="0.3">
      <c r="A250">
        <v>45175</v>
      </c>
      <c r="B250" t="s">
        <v>12</v>
      </c>
      <c r="C250" t="s">
        <v>18</v>
      </c>
      <c r="D250">
        <v>2</v>
      </c>
      <c r="E250">
        <v>17000000</v>
      </c>
      <c r="F250">
        <v>5</v>
      </c>
      <c r="G250">
        <v>2907000</v>
      </c>
      <c r="H250">
        <v>32300000</v>
      </c>
      <c r="I250">
        <v>27200000</v>
      </c>
      <c r="J250">
        <v>5100000</v>
      </c>
      <c r="K250" t="s">
        <v>34</v>
      </c>
    </row>
    <row r="251" spans="1:11" x14ac:dyDescent="0.3">
      <c r="A251">
        <v>45176</v>
      </c>
      <c r="B251" t="s">
        <v>10</v>
      </c>
      <c r="C251" t="s">
        <v>18</v>
      </c>
      <c r="D251">
        <v>4</v>
      </c>
      <c r="E251">
        <v>9000000</v>
      </c>
      <c r="F251">
        <v>2</v>
      </c>
      <c r="G251">
        <v>1587600</v>
      </c>
      <c r="H251">
        <v>35280000</v>
      </c>
      <c r="I251">
        <v>28800000</v>
      </c>
      <c r="J251">
        <v>6480000</v>
      </c>
      <c r="K251" t="s">
        <v>34</v>
      </c>
    </row>
    <row r="252" spans="1:11" x14ac:dyDescent="0.3">
      <c r="A252">
        <v>45177</v>
      </c>
      <c r="B252" t="s">
        <v>15</v>
      </c>
      <c r="C252" t="s">
        <v>14</v>
      </c>
      <c r="D252">
        <v>1</v>
      </c>
      <c r="E252">
        <v>18000000</v>
      </c>
      <c r="F252">
        <v>4</v>
      </c>
      <c r="G252">
        <v>3110400</v>
      </c>
      <c r="H252">
        <v>17280000</v>
      </c>
      <c r="I252">
        <v>14400000</v>
      </c>
      <c r="J252">
        <v>2880000</v>
      </c>
      <c r="K252" t="s">
        <v>34</v>
      </c>
    </row>
    <row r="253" spans="1:11" x14ac:dyDescent="0.3">
      <c r="A253">
        <v>45178</v>
      </c>
      <c r="B253" t="s">
        <v>12</v>
      </c>
      <c r="C253" t="s">
        <v>17</v>
      </c>
      <c r="D253">
        <v>3</v>
      </c>
      <c r="E253">
        <v>17000000</v>
      </c>
      <c r="F253">
        <v>5</v>
      </c>
      <c r="G253">
        <v>2907000</v>
      </c>
      <c r="H253">
        <v>48450000</v>
      </c>
      <c r="I253">
        <v>40800000</v>
      </c>
      <c r="J253">
        <v>7650000</v>
      </c>
      <c r="K253" t="s">
        <v>34</v>
      </c>
    </row>
    <row r="254" spans="1:11" x14ac:dyDescent="0.3">
      <c r="A254">
        <v>45179</v>
      </c>
      <c r="B254" t="s">
        <v>12</v>
      </c>
      <c r="C254" t="s">
        <v>14</v>
      </c>
      <c r="D254">
        <v>3</v>
      </c>
      <c r="E254">
        <v>17000000</v>
      </c>
      <c r="F254">
        <v>3</v>
      </c>
      <c r="G254">
        <v>2968200</v>
      </c>
      <c r="H254">
        <v>49470000</v>
      </c>
      <c r="I254">
        <v>40800000</v>
      </c>
      <c r="J254">
        <v>8670000</v>
      </c>
      <c r="K254" t="s">
        <v>34</v>
      </c>
    </row>
    <row r="255" spans="1:11" x14ac:dyDescent="0.3">
      <c r="A255">
        <v>45180</v>
      </c>
      <c r="B255" t="s">
        <v>15</v>
      </c>
      <c r="C255" t="s">
        <v>11</v>
      </c>
      <c r="D255">
        <v>2</v>
      </c>
      <c r="E255">
        <v>18000000</v>
      </c>
      <c r="F255">
        <v>6</v>
      </c>
      <c r="G255">
        <v>3045600</v>
      </c>
      <c r="H255">
        <v>33840000</v>
      </c>
      <c r="I255">
        <v>28800000</v>
      </c>
      <c r="J255">
        <v>5040000</v>
      </c>
      <c r="K255" t="s">
        <v>34</v>
      </c>
    </row>
    <row r="256" spans="1:11" x14ac:dyDescent="0.3">
      <c r="A256">
        <v>45181</v>
      </c>
      <c r="B256" t="s">
        <v>12</v>
      </c>
      <c r="C256" t="s">
        <v>14</v>
      </c>
      <c r="D256">
        <v>3</v>
      </c>
      <c r="E256">
        <v>17000000</v>
      </c>
      <c r="F256">
        <v>2</v>
      </c>
      <c r="G256">
        <v>2998800</v>
      </c>
      <c r="H256">
        <v>49980000</v>
      </c>
      <c r="I256">
        <v>40800000</v>
      </c>
      <c r="J256">
        <v>9180000</v>
      </c>
      <c r="K256" t="s">
        <v>34</v>
      </c>
    </row>
    <row r="257" spans="1:11" x14ac:dyDescent="0.3">
      <c r="A257">
        <v>45182</v>
      </c>
      <c r="B257" t="s">
        <v>16</v>
      </c>
      <c r="C257" t="s">
        <v>13</v>
      </c>
      <c r="D257">
        <v>4</v>
      </c>
      <c r="E257">
        <v>16000000</v>
      </c>
      <c r="F257">
        <v>3</v>
      </c>
      <c r="G257">
        <v>2793600</v>
      </c>
      <c r="H257">
        <v>62080000</v>
      </c>
      <c r="I257">
        <v>51200000</v>
      </c>
      <c r="J257">
        <v>10880000</v>
      </c>
      <c r="K257" t="s">
        <v>34</v>
      </c>
    </row>
    <row r="258" spans="1:11" x14ac:dyDescent="0.3">
      <c r="A258">
        <v>45183</v>
      </c>
      <c r="B258" t="s">
        <v>10</v>
      </c>
      <c r="C258" t="s">
        <v>11</v>
      </c>
      <c r="D258">
        <v>2</v>
      </c>
      <c r="E258">
        <v>9000000</v>
      </c>
      <c r="F258">
        <v>4</v>
      </c>
      <c r="G258">
        <v>1555200</v>
      </c>
      <c r="H258">
        <v>17280000</v>
      </c>
      <c r="I258">
        <v>14400000</v>
      </c>
      <c r="J258">
        <v>2880000</v>
      </c>
      <c r="K258" t="s">
        <v>34</v>
      </c>
    </row>
    <row r="259" spans="1:11" x14ac:dyDescent="0.3">
      <c r="A259">
        <v>45184</v>
      </c>
      <c r="B259" t="s">
        <v>15</v>
      </c>
      <c r="C259" t="s">
        <v>18</v>
      </c>
      <c r="D259">
        <v>1</v>
      </c>
      <c r="E259">
        <v>18000000</v>
      </c>
      <c r="F259">
        <v>6</v>
      </c>
      <c r="G259">
        <v>3045600</v>
      </c>
      <c r="H259">
        <v>16920000</v>
      </c>
      <c r="I259">
        <v>14400000</v>
      </c>
      <c r="J259">
        <v>2520000</v>
      </c>
      <c r="K259" t="s">
        <v>34</v>
      </c>
    </row>
    <row r="260" spans="1:11" x14ac:dyDescent="0.3">
      <c r="A260">
        <v>45185</v>
      </c>
      <c r="B260" t="s">
        <v>12</v>
      </c>
      <c r="C260" t="s">
        <v>18</v>
      </c>
      <c r="D260">
        <v>2</v>
      </c>
      <c r="E260">
        <v>17000000</v>
      </c>
      <c r="F260">
        <v>6</v>
      </c>
      <c r="G260">
        <v>2876400</v>
      </c>
      <c r="H260">
        <v>31960000</v>
      </c>
      <c r="I260">
        <v>27200000</v>
      </c>
      <c r="J260">
        <v>4760000</v>
      </c>
      <c r="K260" t="s">
        <v>34</v>
      </c>
    </row>
    <row r="261" spans="1:11" x14ac:dyDescent="0.3">
      <c r="A261">
        <v>45186</v>
      </c>
      <c r="B261" t="s">
        <v>16</v>
      </c>
      <c r="C261" t="s">
        <v>14</v>
      </c>
      <c r="D261">
        <v>2</v>
      </c>
      <c r="E261">
        <v>16000000</v>
      </c>
      <c r="F261">
        <v>5</v>
      </c>
      <c r="G261">
        <v>2736000</v>
      </c>
      <c r="H261">
        <v>30400000</v>
      </c>
      <c r="I261">
        <v>25600000</v>
      </c>
      <c r="J261">
        <v>4800000</v>
      </c>
      <c r="K261" t="s">
        <v>34</v>
      </c>
    </row>
    <row r="262" spans="1:11" x14ac:dyDescent="0.3">
      <c r="A262">
        <v>45187</v>
      </c>
      <c r="B262" t="s">
        <v>16</v>
      </c>
      <c r="C262" t="s">
        <v>13</v>
      </c>
      <c r="D262">
        <v>3</v>
      </c>
      <c r="E262">
        <v>16000000</v>
      </c>
      <c r="F262">
        <v>3</v>
      </c>
      <c r="G262">
        <v>2793600</v>
      </c>
      <c r="H262">
        <v>46560000</v>
      </c>
      <c r="I262">
        <v>38400000</v>
      </c>
      <c r="J262">
        <v>8160000</v>
      </c>
      <c r="K262" t="s">
        <v>34</v>
      </c>
    </row>
    <row r="263" spans="1:11" x14ac:dyDescent="0.3">
      <c r="A263">
        <v>45188</v>
      </c>
      <c r="B263" t="s">
        <v>19</v>
      </c>
      <c r="C263" t="s">
        <v>14</v>
      </c>
      <c r="D263">
        <v>1</v>
      </c>
      <c r="E263">
        <v>15000000</v>
      </c>
      <c r="F263">
        <v>3</v>
      </c>
      <c r="G263">
        <v>2619000</v>
      </c>
      <c r="H263">
        <v>14550000</v>
      </c>
      <c r="I263">
        <v>12000000</v>
      </c>
      <c r="J263">
        <v>2550000</v>
      </c>
      <c r="K263" t="s">
        <v>34</v>
      </c>
    </row>
    <row r="264" spans="1:11" x14ac:dyDescent="0.3">
      <c r="A264">
        <v>45189</v>
      </c>
      <c r="B264" t="s">
        <v>16</v>
      </c>
      <c r="C264" t="s">
        <v>14</v>
      </c>
      <c r="D264">
        <v>2</v>
      </c>
      <c r="E264">
        <v>16000000</v>
      </c>
      <c r="F264">
        <v>2</v>
      </c>
      <c r="G264">
        <v>2822400</v>
      </c>
      <c r="H264">
        <v>31360000</v>
      </c>
      <c r="I264">
        <v>25600000</v>
      </c>
      <c r="J264">
        <v>5760000</v>
      </c>
      <c r="K264" t="s">
        <v>34</v>
      </c>
    </row>
    <row r="265" spans="1:11" x14ac:dyDescent="0.3">
      <c r="A265">
        <v>45190</v>
      </c>
      <c r="B265" t="s">
        <v>16</v>
      </c>
      <c r="C265" t="s">
        <v>18</v>
      </c>
      <c r="D265">
        <v>1</v>
      </c>
      <c r="E265">
        <v>16000000</v>
      </c>
      <c r="F265">
        <v>6</v>
      </c>
      <c r="G265">
        <v>2707200</v>
      </c>
      <c r="H265">
        <v>15040000</v>
      </c>
      <c r="I265">
        <v>12800000</v>
      </c>
      <c r="J265">
        <v>2240000</v>
      </c>
      <c r="K265" t="s">
        <v>34</v>
      </c>
    </row>
    <row r="266" spans="1:11" x14ac:dyDescent="0.3">
      <c r="A266">
        <v>45191</v>
      </c>
      <c r="B266" t="s">
        <v>12</v>
      </c>
      <c r="C266" t="s">
        <v>18</v>
      </c>
      <c r="D266">
        <v>1</v>
      </c>
      <c r="E266">
        <v>17000000</v>
      </c>
      <c r="F266">
        <v>4</v>
      </c>
      <c r="G266">
        <v>2937600</v>
      </c>
      <c r="H266">
        <v>16320000</v>
      </c>
      <c r="I266">
        <v>13600000</v>
      </c>
      <c r="J266">
        <v>2720000</v>
      </c>
      <c r="K266" t="s">
        <v>34</v>
      </c>
    </row>
    <row r="267" spans="1:11" x14ac:dyDescent="0.3">
      <c r="A267">
        <v>45192</v>
      </c>
      <c r="B267" t="s">
        <v>16</v>
      </c>
      <c r="C267" t="s">
        <v>14</v>
      </c>
      <c r="D267">
        <v>2</v>
      </c>
      <c r="E267">
        <v>16000000</v>
      </c>
      <c r="F267">
        <v>6</v>
      </c>
      <c r="G267">
        <v>2707200</v>
      </c>
      <c r="H267">
        <v>30080000</v>
      </c>
      <c r="I267">
        <v>25600000</v>
      </c>
      <c r="J267">
        <v>4480000</v>
      </c>
      <c r="K267" t="s">
        <v>34</v>
      </c>
    </row>
    <row r="268" spans="1:11" x14ac:dyDescent="0.3">
      <c r="A268">
        <v>45193</v>
      </c>
      <c r="B268" t="s">
        <v>12</v>
      </c>
      <c r="C268" t="s">
        <v>13</v>
      </c>
      <c r="D268">
        <v>3</v>
      </c>
      <c r="E268">
        <v>17000000</v>
      </c>
      <c r="F268">
        <v>2</v>
      </c>
      <c r="G268">
        <v>2998800</v>
      </c>
      <c r="H268">
        <v>49980000</v>
      </c>
      <c r="I268">
        <v>40800000</v>
      </c>
      <c r="J268">
        <v>9180000</v>
      </c>
      <c r="K268" t="s">
        <v>34</v>
      </c>
    </row>
    <row r="269" spans="1:11" x14ac:dyDescent="0.3">
      <c r="A269">
        <v>45194</v>
      </c>
      <c r="B269" t="s">
        <v>15</v>
      </c>
      <c r="C269" t="s">
        <v>18</v>
      </c>
      <c r="D269">
        <v>4</v>
      </c>
      <c r="E269">
        <v>18000000</v>
      </c>
      <c r="F269">
        <v>5</v>
      </c>
      <c r="G269">
        <v>3078000</v>
      </c>
      <c r="H269">
        <v>68400000</v>
      </c>
      <c r="I269">
        <v>57600000</v>
      </c>
      <c r="J269">
        <v>10800000</v>
      </c>
      <c r="K269" t="s">
        <v>34</v>
      </c>
    </row>
    <row r="270" spans="1:11" x14ac:dyDescent="0.3">
      <c r="A270">
        <v>45195</v>
      </c>
      <c r="B270" t="s">
        <v>15</v>
      </c>
      <c r="C270" t="s">
        <v>18</v>
      </c>
      <c r="D270">
        <v>2</v>
      </c>
      <c r="E270">
        <v>18000000</v>
      </c>
      <c r="F270">
        <v>6</v>
      </c>
      <c r="G270">
        <v>3045600</v>
      </c>
      <c r="H270">
        <v>33840000</v>
      </c>
      <c r="I270">
        <v>28800000</v>
      </c>
      <c r="J270">
        <v>5040000</v>
      </c>
      <c r="K270" t="s">
        <v>34</v>
      </c>
    </row>
    <row r="271" spans="1:11" x14ac:dyDescent="0.3">
      <c r="A271">
        <v>45196</v>
      </c>
      <c r="B271" t="s">
        <v>16</v>
      </c>
      <c r="C271" t="s">
        <v>17</v>
      </c>
      <c r="D271">
        <v>2</v>
      </c>
      <c r="E271">
        <v>16000000</v>
      </c>
      <c r="F271">
        <v>2</v>
      </c>
      <c r="G271">
        <v>2822400</v>
      </c>
      <c r="H271">
        <v>31360000</v>
      </c>
      <c r="I271">
        <v>25600000</v>
      </c>
      <c r="J271">
        <v>5760000</v>
      </c>
      <c r="K271" t="s">
        <v>34</v>
      </c>
    </row>
    <row r="272" spans="1:11" x14ac:dyDescent="0.3">
      <c r="A272">
        <v>45197</v>
      </c>
      <c r="B272" t="s">
        <v>19</v>
      </c>
      <c r="C272" t="s">
        <v>14</v>
      </c>
      <c r="D272">
        <v>2</v>
      </c>
      <c r="E272">
        <v>15000000</v>
      </c>
      <c r="F272">
        <v>6</v>
      </c>
      <c r="G272">
        <v>2538000</v>
      </c>
      <c r="H272">
        <v>28200000</v>
      </c>
      <c r="I272">
        <v>24000000</v>
      </c>
      <c r="J272">
        <v>4200000</v>
      </c>
      <c r="K272" t="s">
        <v>34</v>
      </c>
    </row>
    <row r="273" spans="1:11" x14ac:dyDescent="0.3">
      <c r="A273">
        <v>45198</v>
      </c>
      <c r="B273" t="s">
        <v>19</v>
      </c>
      <c r="C273" t="s">
        <v>13</v>
      </c>
      <c r="D273">
        <v>3</v>
      </c>
      <c r="E273">
        <v>15000000</v>
      </c>
      <c r="F273">
        <v>4</v>
      </c>
      <c r="G273">
        <v>2592000</v>
      </c>
      <c r="H273">
        <v>43200000</v>
      </c>
      <c r="I273">
        <v>36000000</v>
      </c>
      <c r="J273">
        <v>7200000</v>
      </c>
      <c r="K273" t="s">
        <v>34</v>
      </c>
    </row>
    <row r="274" spans="1:11" x14ac:dyDescent="0.3">
      <c r="A274">
        <v>45199</v>
      </c>
      <c r="B274" t="s">
        <v>15</v>
      </c>
      <c r="C274" t="s">
        <v>11</v>
      </c>
      <c r="D274">
        <v>3</v>
      </c>
      <c r="E274">
        <v>18000000</v>
      </c>
      <c r="F274">
        <v>3</v>
      </c>
      <c r="G274">
        <v>3142800</v>
      </c>
      <c r="H274">
        <v>52380000</v>
      </c>
      <c r="I274">
        <v>43200000</v>
      </c>
      <c r="J274">
        <v>9180000</v>
      </c>
      <c r="K274" t="s">
        <v>34</v>
      </c>
    </row>
    <row r="275" spans="1:11" x14ac:dyDescent="0.3">
      <c r="A275">
        <v>45200</v>
      </c>
      <c r="B275" t="s">
        <v>12</v>
      </c>
      <c r="C275" t="s">
        <v>14</v>
      </c>
      <c r="D275">
        <v>1</v>
      </c>
      <c r="E275">
        <v>17000000</v>
      </c>
      <c r="F275">
        <v>4</v>
      </c>
      <c r="G275">
        <v>2937600</v>
      </c>
      <c r="H275">
        <v>16320000</v>
      </c>
      <c r="I275">
        <v>13600000</v>
      </c>
      <c r="J275">
        <v>2720000</v>
      </c>
      <c r="K275" t="s">
        <v>35</v>
      </c>
    </row>
    <row r="276" spans="1:11" x14ac:dyDescent="0.3">
      <c r="A276">
        <v>45201</v>
      </c>
      <c r="B276" t="s">
        <v>10</v>
      </c>
      <c r="C276" t="s">
        <v>14</v>
      </c>
      <c r="D276">
        <v>2</v>
      </c>
      <c r="E276">
        <v>9000000</v>
      </c>
      <c r="F276">
        <v>2</v>
      </c>
      <c r="G276">
        <v>1587600</v>
      </c>
      <c r="H276">
        <v>17640000</v>
      </c>
      <c r="I276">
        <v>14400000</v>
      </c>
      <c r="J276">
        <v>3240000</v>
      </c>
      <c r="K276" t="s">
        <v>35</v>
      </c>
    </row>
    <row r="277" spans="1:11" x14ac:dyDescent="0.3">
      <c r="A277">
        <v>45202</v>
      </c>
      <c r="B277" t="s">
        <v>15</v>
      </c>
      <c r="C277" t="s">
        <v>14</v>
      </c>
      <c r="D277">
        <v>3</v>
      </c>
      <c r="E277">
        <v>18000000</v>
      </c>
      <c r="F277">
        <v>6</v>
      </c>
      <c r="G277">
        <v>3045600</v>
      </c>
      <c r="H277">
        <v>50760000</v>
      </c>
      <c r="I277">
        <v>43200000</v>
      </c>
      <c r="J277">
        <v>7560000</v>
      </c>
      <c r="K277" t="s">
        <v>35</v>
      </c>
    </row>
    <row r="278" spans="1:11" x14ac:dyDescent="0.3">
      <c r="A278">
        <v>45203</v>
      </c>
      <c r="B278" t="s">
        <v>19</v>
      </c>
      <c r="C278" t="s">
        <v>18</v>
      </c>
      <c r="D278">
        <v>1</v>
      </c>
      <c r="E278">
        <v>15000000</v>
      </c>
      <c r="F278">
        <v>2</v>
      </c>
      <c r="G278">
        <v>2646000</v>
      </c>
      <c r="H278">
        <v>14700000</v>
      </c>
      <c r="I278">
        <v>12000000</v>
      </c>
      <c r="J278">
        <v>2700000</v>
      </c>
      <c r="K278" t="s">
        <v>35</v>
      </c>
    </row>
    <row r="279" spans="1:11" x14ac:dyDescent="0.3">
      <c r="A279">
        <v>45204</v>
      </c>
      <c r="B279" t="s">
        <v>12</v>
      </c>
      <c r="C279" t="s">
        <v>14</v>
      </c>
      <c r="D279">
        <v>4</v>
      </c>
      <c r="E279">
        <v>17000000</v>
      </c>
      <c r="F279">
        <v>3</v>
      </c>
      <c r="G279">
        <v>2968200</v>
      </c>
      <c r="H279">
        <v>65960000</v>
      </c>
      <c r="I279">
        <v>54400000</v>
      </c>
      <c r="J279">
        <v>11560000</v>
      </c>
      <c r="K279" t="s">
        <v>35</v>
      </c>
    </row>
    <row r="280" spans="1:11" x14ac:dyDescent="0.3">
      <c r="A280">
        <v>45205</v>
      </c>
      <c r="B280" t="s">
        <v>19</v>
      </c>
      <c r="C280" t="s">
        <v>17</v>
      </c>
      <c r="D280">
        <v>3</v>
      </c>
      <c r="E280">
        <v>15000000</v>
      </c>
      <c r="F280">
        <v>5</v>
      </c>
      <c r="G280">
        <v>2565000</v>
      </c>
      <c r="H280">
        <v>42750000</v>
      </c>
      <c r="I280">
        <v>36000000</v>
      </c>
      <c r="J280">
        <v>6750000</v>
      </c>
      <c r="K280" t="s">
        <v>35</v>
      </c>
    </row>
    <row r="281" spans="1:11" x14ac:dyDescent="0.3">
      <c r="A281">
        <v>45206</v>
      </c>
      <c r="B281" t="s">
        <v>15</v>
      </c>
      <c r="C281" t="s">
        <v>14</v>
      </c>
      <c r="D281">
        <v>3</v>
      </c>
      <c r="E281">
        <v>18000000</v>
      </c>
      <c r="F281">
        <v>6</v>
      </c>
      <c r="G281">
        <v>3045600</v>
      </c>
      <c r="H281">
        <v>50760000</v>
      </c>
      <c r="I281">
        <v>43200000</v>
      </c>
      <c r="J281">
        <v>7560000</v>
      </c>
      <c r="K281" t="s">
        <v>35</v>
      </c>
    </row>
    <row r="282" spans="1:11" x14ac:dyDescent="0.3">
      <c r="A282">
        <v>45207</v>
      </c>
      <c r="B282" t="s">
        <v>15</v>
      </c>
      <c r="C282" t="s">
        <v>11</v>
      </c>
      <c r="D282">
        <v>4</v>
      </c>
      <c r="E282">
        <v>18000000</v>
      </c>
      <c r="F282">
        <v>2</v>
      </c>
      <c r="G282">
        <v>3175200</v>
      </c>
      <c r="H282">
        <v>70560000</v>
      </c>
      <c r="I282">
        <v>57600000</v>
      </c>
      <c r="J282">
        <v>12960000</v>
      </c>
      <c r="K282" t="s">
        <v>35</v>
      </c>
    </row>
    <row r="283" spans="1:11" x14ac:dyDescent="0.3">
      <c r="A283">
        <v>45208</v>
      </c>
      <c r="B283" t="s">
        <v>15</v>
      </c>
      <c r="C283" t="s">
        <v>13</v>
      </c>
      <c r="D283">
        <v>2</v>
      </c>
      <c r="E283">
        <v>18000000</v>
      </c>
      <c r="F283">
        <v>5</v>
      </c>
      <c r="G283">
        <v>3078000</v>
      </c>
      <c r="H283">
        <v>34200000</v>
      </c>
      <c r="I283">
        <v>28800000</v>
      </c>
      <c r="J283">
        <v>5400000</v>
      </c>
      <c r="K283" t="s">
        <v>35</v>
      </c>
    </row>
    <row r="284" spans="1:11" x14ac:dyDescent="0.3">
      <c r="A284">
        <v>45209</v>
      </c>
      <c r="B284" t="s">
        <v>16</v>
      </c>
      <c r="C284" t="s">
        <v>11</v>
      </c>
      <c r="D284">
        <v>3</v>
      </c>
      <c r="E284">
        <v>16000000</v>
      </c>
      <c r="F284">
        <v>5</v>
      </c>
      <c r="G284">
        <v>2736000</v>
      </c>
      <c r="H284">
        <v>45600000</v>
      </c>
      <c r="I284">
        <v>38400000</v>
      </c>
      <c r="J284">
        <v>7200000</v>
      </c>
      <c r="K284" t="s">
        <v>35</v>
      </c>
    </row>
    <row r="285" spans="1:11" x14ac:dyDescent="0.3">
      <c r="A285">
        <v>45210</v>
      </c>
      <c r="B285" t="s">
        <v>10</v>
      </c>
      <c r="C285" t="s">
        <v>13</v>
      </c>
      <c r="D285">
        <v>2</v>
      </c>
      <c r="E285">
        <v>9000000</v>
      </c>
      <c r="F285">
        <v>3</v>
      </c>
      <c r="G285">
        <v>1571400</v>
      </c>
      <c r="H285">
        <v>17460000</v>
      </c>
      <c r="I285">
        <v>14400000</v>
      </c>
      <c r="J285">
        <v>3060000</v>
      </c>
      <c r="K285" t="s">
        <v>35</v>
      </c>
    </row>
    <row r="286" spans="1:11" x14ac:dyDescent="0.3">
      <c r="A286">
        <v>45211</v>
      </c>
      <c r="B286" t="s">
        <v>16</v>
      </c>
      <c r="C286" t="s">
        <v>18</v>
      </c>
      <c r="D286">
        <v>4</v>
      </c>
      <c r="E286">
        <v>16000000</v>
      </c>
      <c r="F286">
        <v>2</v>
      </c>
      <c r="G286">
        <v>2822400</v>
      </c>
      <c r="H286">
        <v>62720000</v>
      </c>
      <c r="I286">
        <v>51200000</v>
      </c>
      <c r="J286">
        <v>11520000</v>
      </c>
      <c r="K286" t="s">
        <v>35</v>
      </c>
    </row>
    <row r="287" spans="1:11" x14ac:dyDescent="0.3">
      <c r="A287">
        <v>45212</v>
      </c>
      <c r="B287" t="s">
        <v>12</v>
      </c>
      <c r="C287" t="s">
        <v>17</v>
      </c>
      <c r="D287">
        <v>2</v>
      </c>
      <c r="E287">
        <v>17000000</v>
      </c>
      <c r="F287">
        <v>3</v>
      </c>
      <c r="G287">
        <v>2968200</v>
      </c>
      <c r="H287">
        <v>32980000</v>
      </c>
      <c r="I287">
        <v>27200000</v>
      </c>
      <c r="J287">
        <v>5780000</v>
      </c>
      <c r="K287" t="s">
        <v>35</v>
      </c>
    </row>
    <row r="288" spans="1:11" x14ac:dyDescent="0.3">
      <c r="A288">
        <v>45213</v>
      </c>
      <c r="B288" t="s">
        <v>19</v>
      </c>
      <c r="C288" t="s">
        <v>17</v>
      </c>
      <c r="D288">
        <v>4</v>
      </c>
      <c r="E288">
        <v>15000000</v>
      </c>
      <c r="F288">
        <v>4</v>
      </c>
      <c r="G288">
        <v>2592000</v>
      </c>
      <c r="H288">
        <v>57600000</v>
      </c>
      <c r="I288">
        <v>48000000</v>
      </c>
      <c r="J288">
        <v>9600000</v>
      </c>
      <c r="K288" t="s">
        <v>35</v>
      </c>
    </row>
    <row r="289" spans="1:11" x14ac:dyDescent="0.3">
      <c r="A289">
        <v>45214</v>
      </c>
      <c r="B289" t="s">
        <v>10</v>
      </c>
      <c r="C289" t="s">
        <v>14</v>
      </c>
      <c r="D289">
        <v>2</v>
      </c>
      <c r="E289">
        <v>9000000</v>
      </c>
      <c r="F289">
        <v>5</v>
      </c>
      <c r="G289">
        <v>1539000</v>
      </c>
      <c r="H289">
        <v>17100000</v>
      </c>
      <c r="I289">
        <v>14400000</v>
      </c>
      <c r="J289">
        <v>2700000</v>
      </c>
      <c r="K289" t="s">
        <v>35</v>
      </c>
    </row>
    <row r="290" spans="1:11" x14ac:dyDescent="0.3">
      <c r="A290">
        <v>45215</v>
      </c>
      <c r="B290" t="s">
        <v>10</v>
      </c>
      <c r="C290" t="s">
        <v>14</v>
      </c>
      <c r="D290">
        <v>4</v>
      </c>
      <c r="E290">
        <v>9000000</v>
      </c>
      <c r="F290">
        <v>5</v>
      </c>
      <c r="G290">
        <v>1539000</v>
      </c>
      <c r="H290">
        <v>34200000</v>
      </c>
      <c r="I290">
        <v>28800000</v>
      </c>
      <c r="J290">
        <v>5400000</v>
      </c>
      <c r="K290" t="s">
        <v>35</v>
      </c>
    </row>
    <row r="291" spans="1:11" x14ac:dyDescent="0.3">
      <c r="A291">
        <v>45216</v>
      </c>
      <c r="B291" t="s">
        <v>16</v>
      </c>
      <c r="C291" t="s">
        <v>17</v>
      </c>
      <c r="D291">
        <v>1</v>
      </c>
      <c r="E291">
        <v>16000000</v>
      </c>
      <c r="F291">
        <v>3</v>
      </c>
      <c r="G291">
        <v>2793600</v>
      </c>
      <c r="H291">
        <v>15520000</v>
      </c>
      <c r="I291">
        <v>12800000</v>
      </c>
      <c r="J291">
        <v>2720000</v>
      </c>
      <c r="K291" t="s">
        <v>35</v>
      </c>
    </row>
    <row r="292" spans="1:11" x14ac:dyDescent="0.3">
      <c r="A292">
        <v>45217</v>
      </c>
      <c r="B292" t="s">
        <v>10</v>
      </c>
      <c r="C292" t="s">
        <v>11</v>
      </c>
      <c r="D292">
        <v>3</v>
      </c>
      <c r="E292">
        <v>9000000</v>
      </c>
      <c r="F292">
        <v>4</v>
      </c>
      <c r="G292">
        <v>1555200</v>
      </c>
      <c r="H292">
        <v>25920000</v>
      </c>
      <c r="I292">
        <v>21600000</v>
      </c>
      <c r="J292">
        <v>4320000</v>
      </c>
      <c r="K292" t="s">
        <v>35</v>
      </c>
    </row>
    <row r="293" spans="1:11" x14ac:dyDescent="0.3">
      <c r="A293">
        <v>45218</v>
      </c>
      <c r="B293" t="s">
        <v>16</v>
      </c>
      <c r="C293" t="s">
        <v>13</v>
      </c>
      <c r="D293">
        <v>2</v>
      </c>
      <c r="E293">
        <v>16000000</v>
      </c>
      <c r="F293">
        <v>2</v>
      </c>
      <c r="G293">
        <v>2822400</v>
      </c>
      <c r="H293">
        <v>31360000</v>
      </c>
      <c r="I293">
        <v>25600000</v>
      </c>
      <c r="J293">
        <v>5760000</v>
      </c>
      <c r="K293" t="s">
        <v>35</v>
      </c>
    </row>
    <row r="294" spans="1:11" x14ac:dyDescent="0.3">
      <c r="A294">
        <v>45219</v>
      </c>
      <c r="B294" t="s">
        <v>19</v>
      </c>
      <c r="C294" t="s">
        <v>18</v>
      </c>
      <c r="D294">
        <v>2</v>
      </c>
      <c r="E294">
        <v>15000000</v>
      </c>
      <c r="F294">
        <v>5</v>
      </c>
      <c r="G294">
        <v>2565000</v>
      </c>
      <c r="H294">
        <v>28500000</v>
      </c>
      <c r="I294">
        <v>24000000</v>
      </c>
      <c r="J294">
        <v>4500000</v>
      </c>
      <c r="K294" t="s">
        <v>35</v>
      </c>
    </row>
    <row r="295" spans="1:11" x14ac:dyDescent="0.3">
      <c r="A295">
        <v>45220</v>
      </c>
      <c r="B295" t="s">
        <v>16</v>
      </c>
      <c r="C295" t="s">
        <v>13</v>
      </c>
      <c r="D295">
        <v>4</v>
      </c>
      <c r="E295">
        <v>16000000</v>
      </c>
      <c r="F295">
        <v>4</v>
      </c>
      <c r="G295">
        <v>2764800</v>
      </c>
      <c r="H295">
        <v>61440000</v>
      </c>
      <c r="I295">
        <v>51200000</v>
      </c>
      <c r="J295">
        <v>10240000</v>
      </c>
      <c r="K295" t="s">
        <v>35</v>
      </c>
    </row>
    <row r="296" spans="1:11" x14ac:dyDescent="0.3">
      <c r="A296">
        <v>45221</v>
      </c>
      <c r="B296" t="s">
        <v>15</v>
      </c>
      <c r="C296" t="s">
        <v>14</v>
      </c>
      <c r="D296">
        <v>2</v>
      </c>
      <c r="E296">
        <v>18000000</v>
      </c>
      <c r="F296">
        <v>4</v>
      </c>
      <c r="G296">
        <v>3110400</v>
      </c>
      <c r="H296">
        <v>34560000</v>
      </c>
      <c r="I296">
        <v>28800000</v>
      </c>
      <c r="J296">
        <v>5760000</v>
      </c>
      <c r="K296" t="s">
        <v>35</v>
      </c>
    </row>
    <row r="297" spans="1:11" x14ac:dyDescent="0.3">
      <c r="A297">
        <v>45222</v>
      </c>
      <c r="B297" t="s">
        <v>15</v>
      </c>
      <c r="C297" t="s">
        <v>14</v>
      </c>
      <c r="D297">
        <v>3</v>
      </c>
      <c r="E297">
        <v>18000000</v>
      </c>
      <c r="F297">
        <v>6</v>
      </c>
      <c r="G297">
        <v>3045600</v>
      </c>
      <c r="H297">
        <v>50760000</v>
      </c>
      <c r="I297">
        <v>43200000</v>
      </c>
      <c r="J297">
        <v>7560000</v>
      </c>
      <c r="K297" t="s">
        <v>35</v>
      </c>
    </row>
    <row r="298" spans="1:11" x14ac:dyDescent="0.3">
      <c r="A298">
        <v>45223</v>
      </c>
      <c r="B298" t="s">
        <v>15</v>
      </c>
      <c r="C298" t="s">
        <v>18</v>
      </c>
      <c r="D298">
        <v>2</v>
      </c>
      <c r="E298">
        <v>18000000</v>
      </c>
      <c r="F298">
        <v>2</v>
      </c>
      <c r="G298">
        <v>3175200</v>
      </c>
      <c r="H298">
        <v>35280000</v>
      </c>
      <c r="I298">
        <v>28800000</v>
      </c>
      <c r="J298">
        <v>6480000</v>
      </c>
      <c r="K298" t="s">
        <v>35</v>
      </c>
    </row>
    <row r="299" spans="1:11" x14ac:dyDescent="0.3">
      <c r="A299">
        <v>45224</v>
      </c>
      <c r="B299" t="s">
        <v>10</v>
      </c>
      <c r="C299" t="s">
        <v>11</v>
      </c>
      <c r="D299">
        <v>1</v>
      </c>
      <c r="E299">
        <v>9000000</v>
      </c>
      <c r="F299">
        <v>3</v>
      </c>
      <c r="G299">
        <v>1571400</v>
      </c>
      <c r="H299">
        <v>8730000</v>
      </c>
      <c r="I299">
        <v>7200000</v>
      </c>
      <c r="J299">
        <v>1530000</v>
      </c>
      <c r="K299" t="s">
        <v>35</v>
      </c>
    </row>
    <row r="300" spans="1:11" x14ac:dyDescent="0.3">
      <c r="A300">
        <v>45225</v>
      </c>
      <c r="B300" t="s">
        <v>19</v>
      </c>
      <c r="C300" t="s">
        <v>17</v>
      </c>
      <c r="D300">
        <v>1</v>
      </c>
      <c r="E300">
        <v>15000000</v>
      </c>
      <c r="F300">
        <v>3</v>
      </c>
      <c r="G300">
        <v>2619000</v>
      </c>
      <c r="H300">
        <v>14550000</v>
      </c>
      <c r="I300">
        <v>12000000</v>
      </c>
      <c r="J300">
        <v>2550000</v>
      </c>
      <c r="K300" t="s">
        <v>35</v>
      </c>
    </row>
    <row r="301" spans="1:11" x14ac:dyDescent="0.3">
      <c r="A301">
        <v>45226</v>
      </c>
      <c r="B301" t="s">
        <v>12</v>
      </c>
      <c r="C301" t="s">
        <v>18</v>
      </c>
      <c r="D301">
        <v>3</v>
      </c>
      <c r="E301">
        <v>17000000</v>
      </c>
      <c r="F301">
        <v>5</v>
      </c>
      <c r="G301">
        <v>2907000</v>
      </c>
      <c r="H301">
        <v>48450000</v>
      </c>
      <c r="I301">
        <v>40800000</v>
      </c>
      <c r="J301">
        <v>7650000</v>
      </c>
      <c r="K301" t="s">
        <v>35</v>
      </c>
    </row>
    <row r="302" spans="1:11" x14ac:dyDescent="0.3">
      <c r="A302">
        <v>45227</v>
      </c>
      <c r="B302" t="s">
        <v>19</v>
      </c>
      <c r="C302" t="s">
        <v>17</v>
      </c>
      <c r="D302">
        <v>2</v>
      </c>
      <c r="E302">
        <v>15000000</v>
      </c>
      <c r="F302">
        <v>3</v>
      </c>
      <c r="G302">
        <v>2619000</v>
      </c>
      <c r="H302">
        <v>29100000</v>
      </c>
      <c r="I302">
        <v>24000000</v>
      </c>
      <c r="J302">
        <v>5100000</v>
      </c>
      <c r="K302" t="s">
        <v>35</v>
      </c>
    </row>
    <row r="303" spans="1:11" x14ac:dyDescent="0.3">
      <c r="A303">
        <v>45228</v>
      </c>
      <c r="B303" t="s">
        <v>19</v>
      </c>
      <c r="C303" t="s">
        <v>14</v>
      </c>
      <c r="D303">
        <v>2</v>
      </c>
      <c r="E303">
        <v>15000000</v>
      </c>
      <c r="F303">
        <v>4</v>
      </c>
      <c r="G303">
        <v>2592000</v>
      </c>
      <c r="H303">
        <v>28800000</v>
      </c>
      <c r="I303">
        <v>24000000</v>
      </c>
      <c r="J303">
        <v>4800000</v>
      </c>
      <c r="K303" t="s">
        <v>35</v>
      </c>
    </row>
    <row r="304" spans="1:11" x14ac:dyDescent="0.3">
      <c r="A304">
        <v>45229</v>
      </c>
      <c r="B304" t="s">
        <v>10</v>
      </c>
      <c r="C304" t="s">
        <v>18</v>
      </c>
      <c r="D304">
        <v>1</v>
      </c>
      <c r="E304">
        <v>9000000</v>
      </c>
      <c r="F304">
        <v>6</v>
      </c>
      <c r="G304">
        <v>1522800</v>
      </c>
      <c r="H304">
        <v>8460000</v>
      </c>
      <c r="I304">
        <v>7200000</v>
      </c>
      <c r="J304">
        <v>1260000</v>
      </c>
      <c r="K304" t="s">
        <v>35</v>
      </c>
    </row>
    <row r="305" spans="1:11" x14ac:dyDescent="0.3">
      <c r="A305">
        <v>45230</v>
      </c>
      <c r="B305" t="s">
        <v>10</v>
      </c>
      <c r="C305" t="s">
        <v>14</v>
      </c>
      <c r="D305">
        <v>1</v>
      </c>
      <c r="E305">
        <v>9000000</v>
      </c>
      <c r="F305">
        <v>6</v>
      </c>
      <c r="G305">
        <v>1522800</v>
      </c>
      <c r="H305">
        <v>8460000</v>
      </c>
      <c r="I305">
        <v>7200000</v>
      </c>
      <c r="J305">
        <v>1260000</v>
      </c>
      <c r="K305" t="s">
        <v>35</v>
      </c>
    </row>
    <row r="306" spans="1:11" x14ac:dyDescent="0.3">
      <c r="A306">
        <v>45231</v>
      </c>
      <c r="B306" t="s">
        <v>16</v>
      </c>
      <c r="C306" t="s">
        <v>13</v>
      </c>
      <c r="D306">
        <v>1</v>
      </c>
      <c r="E306">
        <v>16000000</v>
      </c>
      <c r="F306">
        <v>2</v>
      </c>
      <c r="G306">
        <v>2822400</v>
      </c>
      <c r="H306">
        <v>15680000</v>
      </c>
      <c r="I306">
        <v>12800000</v>
      </c>
      <c r="J306">
        <v>2880000</v>
      </c>
      <c r="K306" t="s">
        <v>36</v>
      </c>
    </row>
    <row r="307" spans="1:11" x14ac:dyDescent="0.3">
      <c r="A307">
        <v>45232</v>
      </c>
      <c r="B307" t="s">
        <v>15</v>
      </c>
      <c r="C307" t="s">
        <v>14</v>
      </c>
      <c r="D307">
        <v>2</v>
      </c>
      <c r="E307">
        <v>18000000</v>
      </c>
      <c r="F307">
        <v>2</v>
      </c>
      <c r="G307">
        <v>3175200</v>
      </c>
      <c r="H307">
        <v>35280000</v>
      </c>
      <c r="I307">
        <v>28800000</v>
      </c>
      <c r="J307">
        <v>6480000</v>
      </c>
      <c r="K307" t="s">
        <v>36</v>
      </c>
    </row>
    <row r="308" spans="1:11" x14ac:dyDescent="0.3">
      <c r="A308">
        <v>45233</v>
      </c>
      <c r="B308" t="s">
        <v>19</v>
      </c>
      <c r="C308" t="s">
        <v>17</v>
      </c>
      <c r="D308">
        <v>4</v>
      </c>
      <c r="E308">
        <v>15000000</v>
      </c>
      <c r="F308">
        <v>6</v>
      </c>
      <c r="G308">
        <v>2538000</v>
      </c>
      <c r="H308">
        <v>56400000</v>
      </c>
      <c r="I308">
        <v>48000000</v>
      </c>
      <c r="J308">
        <v>8400000</v>
      </c>
      <c r="K308" t="s">
        <v>36</v>
      </c>
    </row>
    <row r="309" spans="1:11" x14ac:dyDescent="0.3">
      <c r="A309">
        <v>45234</v>
      </c>
      <c r="B309" t="s">
        <v>15</v>
      </c>
      <c r="C309" t="s">
        <v>11</v>
      </c>
      <c r="D309">
        <v>4</v>
      </c>
      <c r="E309">
        <v>18000000</v>
      </c>
      <c r="F309">
        <v>2</v>
      </c>
      <c r="G309">
        <v>3175200</v>
      </c>
      <c r="H309">
        <v>70560000</v>
      </c>
      <c r="I309">
        <v>57600000</v>
      </c>
      <c r="J309">
        <v>12960000</v>
      </c>
      <c r="K309" t="s">
        <v>36</v>
      </c>
    </row>
    <row r="310" spans="1:11" x14ac:dyDescent="0.3">
      <c r="A310">
        <v>45235</v>
      </c>
      <c r="B310" t="s">
        <v>12</v>
      </c>
      <c r="C310" t="s">
        <v>13</v>
      </c>
      <c r="D310">
        <v>2</v>
      </c>
      <c r="E310">
        <v>17000000</v>
      </c>
      <c r="F310">
        <v>3</v>
      </c>
      <c r="G310">
        <v>2968200</v>
      </c>
      <c r="H310">
        <v>32980000</v>
      </c>
      <c r="I310">
        <v>27200000</v>
      </c>
      <c r="J310">
        <v>5780000</v>
      </c>
      <c r="K310" t="s">
        <v>36</v>
      </c>
    </row>
    <row r="311" spans="1:11" x14ac:dyDescent="0.3">
      <c r="A311">
        <v>45236</v>
      </c>
      <c r="B311" t="s">
        <v>16</v>
      </c>
      <c r="C311" t="s">
        <v>14</v>
      </c>
      <c r="D311">
        <v>4</v>
      </c>
      <c r="E311">
        <v>16000000</v>
      </c>
      <c r="F311">
        <v>4</v>
      </c>
      <c r="G311">
        <v>2764800</v>
      </c>
      <c r="H311">
        <v>61440000</v>
      </c>
      <c r="I311">
        <v>51200000</v>
      </c>
      <c r="J311">
        <v>10240000</v>
      </c>
      <c r="K311" t="s">
        <v>36</v>
      </c>
    </row>
    <row r="312" spans="1:11" x14ac:dyDescent="0.3">
      <c r="A312">
        <v>45237</v>
      </c>
      <c r="B312" t="s">
        <v>19</v>
      </c>
      <c r="C312" t="s">
        <v>11</v>
      </c>
      <c r="D312">
        <v>3</v>
      </c>
      <c r="E312">
        <v>15000000</v>
      </c>
      <c r="F312">
        <v>5</v>
      </c>
      <c r="G312">
        <v>2565000</v>
      </c>
      <c r="H312">
        <v>42750000</v>
      </c>
      <c r="I312">
        <v>36000000</v>
      </c>
      <c r="J312">
        <v>6750000</v>
      </c>
      <c r="K312" t="s">
        <v>36</v>
      </c>
    </row>
    <row r="313" spans="1:11" x14ac:dyDescent="0.3">
      <c r="A313">
        <v>45238</v>
      </c>
      <c r="B313" t="s">
        <v>10</v>
      </c>
      <c r="C313" t="s">
        <v>13</v>
      </c>
      <c r="D313">
        <v>3</v>
      </c>
      <c r="E313">
        <v>9000000</v>
      </c>
      <c r="F313">
        <v>6</v>
      </c>
      <c r="G313">
        <v>1522800</v>
      </c>
      <c r="H313">
        <v>25380000</v>
      </c>
      <c r="I313">
        <v>21600000</v>
      </c>
      <c r="J313">
        <v>3780000</v>
      </c>
      <c r="K313" t="s">
        <v>36</v>
      </c>
    </row>
    <row r="314" spans="1:11" x14ac:dyDescent="0.3">
      <c r="A314">
        <v>45239</v>
      </c>
      <c r="B314" t="s">
        <v>12</v>
      </c>
      <c r="C314" t="s">
        <v>17</v>
      </c>
      <c r="D314">
        <v>2</v>
      </c>
      <c r="E314">
        <v>17000000</v>
      </c>
      <c r="F314">
        <v>2</v>
      </c>
      <c r="G314">
        <v>2998800</v>
      </c>
      <c r="H314">
        <v>33320000</v>
      </c>
      <c r="I314">
        <v>27200000</v>
      </c>
      <c r="J314">
        <v>6120000</v>
      </c>
      <c r="K314" t="s">
        <v>36</v>
      </c>
    </row>
    <row r="315" spans="1:11" x14ac:dyDescent="0.3">
      <c r="A315">
        <v>45240</v>
      </c>
      <c r="B315" t="s">
        <v>19</v>
      </c>
      <c r="C315" t="s">
        <v>13</v>
      </c>
      <c r="D315">
        <v>2</v>
      </c>
      <c r="E315">
        <v>15000000</v>
      </c>
      <c r="F315">
        <v>5</v>
      </c>
      <c r="G315">
        <v>2565000</v>
      </c>
      <c r="H315">
        <v>28500000</v>
      </c>
      <c r="I315">
        <v>24000000</v>
      </c>
      <c r="J315">
        <v>4500000</v>
      </c>
      <c r="K315" t="s">
        <v>36</v>
      </c>
    </row>
    <row r="316" spans="1:11" x14ac:dyDescent="0.3">
      <c r="A316">
        <v>45241</v>
      </c>
      <c r="B316" t="s">
        <v>19</v>
      </c>
      <c r="C316" t="s">
        <v>17</v>
      </c>
      <c r="D316">
        <v>3</v>
      </c>
      <c r="E316">
        <v>15000000</v>
      </c>
      <c r="F316">
        <v>2</v>
      </c>
      <c r="G316">
        <v>2646000</v>
      </c>
      <c r="H316">
        <v>44100000</v>
      </c>
      <c r="I316">
        <v>36000000</v>
      </c>
      <c r="J316">
        <v>8100000</v>
      </c>
      <c r="K316" t="s">
        <v>36</v>
      </c>
    </row>
    <row r="317" spans="1:11" x14ac:dyDescent="0.3">
      <c r="A317">
        <v>45242</v>
      </c>
      <c r="B317" t="s">
        <v>16</v>
      </c>
      <c r="C317" t="s">
        <v>18</v>
      </c>
      <c r="D317">
        <v>2</v>
      </c>
      <c r="E317">
        <v>16000000</v>
      </c>
      <c r="F317">
        <v>2</v>
      </c>
      <c r="G317">
        <v>2822400</v>
      </c>
      <c r="H317">
        <v>31360000</v>
      </c>
      <c r="I317">
        <v>25600000</v>
      </c>
      <c r="J317">
        <v>5760000</v>
      </c>
      <c r="K317" t="s">
        <v>36</v>
      </c>
    </row>
    <row r="318" spans="1:11" x14ac:dyDescent="0.3">
      <c r="A318">
        <v>45243</v>
      </c>
      <c r="B318" t="s">
        <v>16</v>
      </c>
      <c r="C318" t="s">
        <v>17</v>
      </c>
      <c r="D318">
        <v>4</v>
      </c>
      <c r="E318">
        <v>16000000</v>
      </c>
      <c r="F318">
        <v>6</v>
      </c>
      <c r="G318">
        <v>2707200</v>
      </c>
      <c r="H318">
        <v>60160000</v>
      </c>
      <c r="I318">
        <v>51200000</v>
      </c>
      <c r="J318">
        <v>8960000</v>
      </c>
      <c r="K318" t="s">
        <v>36</v>
      </c>
    </row>
    <row r="319" spans="1:11" x14ac:dyDescent="0.3">
      <c r="A319">
        <v>45244</v>
      </c>
      <c r="B319" t="s">
        <v>15</v>
      </c>
      <c r="C319" t="s">
        <v>11</v>
      </c>
      <c r="D319">
        <v>2</v>
      </c>
      <c r="E319">
        <v>18000000</v>
      </c>
      <c r="F319">
        <v>5</v>
      </c>
      <c r="G319">
        <v>3078000</v>
      </c>
      <c r="H319">
        <v>34200000</v>
      </c>
      <c r="I319">
        <v>28800000</v>
      </c>
      <c r="J319">
        <v>5400000</v>
      </c>
      <c r="K319" t="s">
        <v>36</v>
      </c>
    </row>
    <row r="320" spans="1:11" x14ac:dyDescent="0.3">
      <c r="A320">
        <v>45245</v>
      </c>
      <c r="B320" t="s">
        <v>12</v>
      </c>
      <c r="C320" t="s">
        <v>11</v>
      </c>
      <c r="D320">
        <v>1</v>
      </c>
      <c r="E320">
        <v>17000000</v>
      </c>
      <c r="F320">
        <v>5</v>
      </c>
      <c r="G320">
        <v>2907000</v>
      </c>
      <c r="H320">
        <v>16150000</v>
      </c>
      <c r="I320">
        <v>13600000</v>
      </c>
      <c r="J320">
        <v>2550000</v>
      </c>
      <c r="K320" t="s">
        <v>36</v>
      </c>
    </row>
    <row r="321" spans="1:11" x14ac:dyDescent="0.3">
      <c r="A321">
        <v>45246</v>
      </c>
      <c r="B321" t="s">
        <v>19</v>
      </c>
      <c r="C321" t="s">
        <v>13</v>
      </c>
      <c r="D321">
        <v>1</v>
      </c>
      <c r="E321">
        <v>15000000</v>
      </c>
      <c r="F321">
        <v>4</v>
      </c>
      <c r="G321">
        <v>2592000</v>
      </c>
      <c r="H321">
        <v>14400000</v>
      </c>
      <c r="I321">
        <v>12000000</v>
      </c>
      <c r="J321">
        <v>2400000</v>
      </c>
      <c r="K321" t="s">
        <v>36</v>
      </c>
    </row>
    <row r="322" spans="1:11" x14ac:dyDescent="0.3">
      <c r="A322">
        <v>45247</v>
      </c>
      <c r="B322" t="s">
        <v>10</v>
      </c>
      <c r="C322" t="s">
        <v>13</v>
      </c>
      <c r="D322">
        <v>1</v>
      </c>
      <c r="E322">
        <v>9000000</v>
      </c>
      <c r="F322">
        <v>6</v>
      </c>
      <c r="G322">
        <v>1522800</v>
      </c>
      <c r="H322">
        <v>8460000</v>
      </c>
      <c r="I322">
        <v>7200000</v>
      </c>
      <c r="J322">
        <v>1260000</v>
      </c>
      <c r="K322" t="s">
        <v>36</v>
      </c>
    </row>
    <row r="323" spans="1:11" x14ac:dyDescent="0.3">
      <c r="A323">
        <v>45248</v>
      </c>
      <c r="B323" t="s">
        <v>10</v>
      </c>
      <c r="C323" t="s">
        <v>11</v>
      </c>
      <c r="D323">
        <v>2</v>
      </c>
      <c r="E323">
        <v>9000000</v>
      </c>
      <c r="F323">
        <v>5</v>
      </c>
      <c r="G323">
        <v>1539000</v>
      </c>
      <c r="H323">
        <v>17100000</v>
      </c>
      <c r="I323">
        <v>14400000</v>
      </c>
      <c r="J323">
        <v>2700000</v>
      </c>
      <c r="K323" t="s">
        <v>36</v>
      </c>
    </row>
    <row r="324" spans="1:11" x14ac:dyDescent="0.3">
      <c r="A324">
        <v>45249</v>
      </c>
      <c r="B324" t="s">
        <v>12</v>
      </c>
      <c r="C324" t="s">
        <v>13</v>
      </c>
      <c r="D324">
        <v>1</v>
      </c>
      <c r="E324">
        <v>17000000</v>
      </c>
      <c r="F324">
        <v>6</v>
      </c>
      <c r="G324">
        <v>2876400</v>
      </c>
      <c r="H324">
        <v>15980000</v>
      </c>
      <c r="I324">
        <v>13600000</v>
      </c>
      <c r="J324">
        <v>2380000</v>
      </c>
      <c r="K324" t="s">
        <v>36</v>
      </c>
    </row>
    <row r="325" spans="1:11" x14ac:dyDescent="0.3">
      <c r="A325">
        <v>45250</v>
      </c>
      <c r="B325" t="s">
        <v>16</v>
      </c>
      <c r="C325" t="s">
        <v>17</v>
      </c>
      <c r="D325">
        <v>4</v>
      </c>
      <c r="E325">
        <v>16000000</v>
      </c>
      <c r="F325">
        <v>5</v>
      </c>
      <c r="G325">
        <v>2736000</v>
      </c>
      <c r="H325">
        <v>60800000</v>
      </c>
      <c r="I325">
        <v>51200000</v>
      </c>
      <c r="J325">
        <v>9600000</v>
      </c>
      <c r="K325" t="s">
        <v>36</v>
      </c>
    </row>
    <row r="326" spans="1:11" x14ac:dyDescent="0.3">
      <c r="A326">
        <v>45251</v>
      </c>
      <c r="B326" t="s">
        <v>19</v>
      </c>
      <c r="C326" t="s">
        <v>17</v>
      </c>
      <c r="D326">
        <v>3</v>
      </c>
      <c r="E326">
        <v>15000000</v>
      </c>
      <c r="F326">
        <v>6</v>
      </c>
      <c r="G326">
        <v>2538000</v>
      </c>
      <c r="H326">
        <v>42300000</v>
      </c>
      <c r="I326">
        <v>36000000</v>
      </c>
      <c r="J326">
        <v>6300000</v>
      </c>
      <c r="K326" t="s">
        <v>36</v>
      </c>
    </row>
    <row r="327" spans="1:11" x14ac:dyDescent="0.3">
      <c r="A327">
        <v>45252</v>
      </c>
      <c r="B327" t="s">
        <v>10</v>
      </c>
      <c r="C327" t="s">
        <v>17</v>
      </c>
      <c r="D327">
        <v>3</v>
      </c>
      <c r="E327">
        <v>9000000</v>
      </c>
      <c r="F327">
        <v>2</v>
      </c>
      <c r="G327">
        <v>1587600</v>
      </c>
      <c r="H327">
        <v>26460000</v>
      </c>
      <c r="I327">
        <v>21600000</v>
      </c>
      <c r="J327">
        <v>4860000</v>
      </c>
      <c r="K327" t="s">
        <v>36</v>
      </c>
    </row>
    <row r="328" spans="1:11" x14ac:dyDescent="0.3">
      <c r="A328">
        <v>45253</v>
      </c>
      <c r="B328" t="s">
        <v>10</v>
      </c>
      <c r="C328" t="s">
        <v>11</v>
      </c>
      <c r="D328">
        <v>1</v>
      </c>
      <c r="E328">
        <v>9000000</v>
      </c>
      <c r="F328">
        <v>3</v>
      </c>
      <c r="G328">
        <v>1571400</v>
      </c>
      <c r="H328">
        <v>8730000</v>
      </c>
      <c r="I328">
        <v>7200000</v>
      </c>
      <c r="J328">
        <v>1530000</v>
      </c>
      <c r="K328" t="s">
        <v>36</v>
      </c>
    </row>
    <row r="329" spans="1:11" x14ac:dyDescent="0.3">
      <c r="A329">
        <v>45254</v>
      </c>
      <c r="B329" t="s">
        <v>15</v>
      </c>
      <c r="C329" t="s">
        <v>13</v>
      </c>
      <c r="D329">
        <v>1</v>
      </c>
      <c r="E329">
        <v>18000000</v>
      </c>
      <c r="F329">
        <v>6</v>
      </c>
      <c r="G329">
        <v>3045600</v>
      </c>
      <c r="H329">
        <v>16920000</v>
      </c>
      <c r="I329">
        <v>14400000</v>
      </c>
      <c r="J329">
        <v>2520000</v>
      </c>
      <c r="K329" t="s">
        <v>36</v>
      </c>
    </row>
    <row r="330" spans="1:11" x14ac:dyDescent="0.3">
      <c r="A330">
        <v>45255</v>
      </c>
      <c r="B330" t="s">
        <v>19</v>
      </c>
      <c r="C330" t="s">
        <v>11</v>
      </c>
      <c r="D330">
        <v>3</v>
      </c>
      <c r="E330">
        <v>15000000</v>
      </c>
      <c r="F330">
        <v>6</v>
      </c>
      <c r="G330">
        <v>2538000</v>
      </c>
      <c r="H330">
        <v>42300000</v>
      </c>
      <c r="I330">
        <v>36000000</v>
      </c>
      <c r="J330">
        <v>6300000</v>
      </c>
      <c r="K330" t="s">
        <v>36</v>
      </c>
    </row>
    <row r="331" spans="1:11" x14ac:dyDescent="0.3">
      <c r="A331">
        <v>45256</v>
      </c>
      <c r="B331" t="s">
        <v>15</v>
      </c>
      <c r="C331" t="s">
        <v>14</v>
      </c>
      <c r="D331">
        <v>2</v>
      </c>
      <c r="E331">
        <v>18000000</v>
      </c>
      <c r="F331">
        <v>5</v>
      </c>
      <c r="G331">
        <v>3078000</v>
      </c>
      <c r="H331">
        <v>34200000</v>
      </c>
      <c r="I331">
        <v>28800000</v>
      </c>
      <c r="J331">
        <v>5400000</v>
      </c>
      <c r="K331" t="s">
        <v>36</v>
      </c>
    </row>
    <row r="332" spans="1:11" x14ac:dyDescent="0.3">
      <c r="A332">
        <v>45257</v>
      </c>
      <c r="B332" t="s">
        <v>15</v>
      </c>
      <c r="C332" t="s">
        <v>13</v>
      </c>
      <c r="D332">
        <v>1</v>
      </c>
      <c r="E332">
        <v>18000000</v>
      </c>
      <c r="F332">
        <v>5</v>
      </c>
      <c r="G332">
        <v>3078000</v>
      </c>
      <c r="H332">
        <v>17100000</v>
      </c>
      <c r="I332">
        <v>14400000</v>
      </c>
      <c r="J332">
        <v>2700000</v>
      </c>
      <c r="K332" t="s">
        <v>36</v>
      </c>
    </row>
    <row r="333" spans="1:11" x14ac:dyDescent="0.3">
      <c r="A333">
        <v>45258</v>
      </c>
      <c r="B333" t="s">
        <v>12</v>
      </c>
      <c r="C333" t="s">
        <v>14</v>
      </c>
      <c r="D333">
        <v>2</v>
      </c>
      <c r="E333">
        <v>17000000</v>
      </c>
      <c r="F333">
        <v>3</v>
      </c>
      <c r="G333">
        <v>2968200</v>
      </c>
      <c r="H333">
        <v>32980000</v>
      </c>
      <c r="I333">
        <v>27200000</v>
      </c>
      <c r="J333">
        <v>5780000</v>
      </c>
      <c r="K333" t="s">
        <v>36</v>
      </c>
    </row>
    <row r="334" spans="1:11" x14ac:dyDescent="0.3">
      <c r="A334">
        <v>45259</v>
      </c>
      <c r="B334" t="s">
        <v>16</v>
      </c>
      <c r="C334" t="s">
        <v>13</v>
      </c>
      <c r="D334">
        <v>2</v>
      </c>
      <c r="E334">
        <v>16000000</v>
      </c>
      <c r="F334">
        <v>3</v>
      </c>
      <c r="G334">
        <v>2793600</v>
      </c>
      <c r="H334">
        <v>31040000</v>
      </c>
      <c r="I334">
        <v>25600000</v>
      </c>
      <c r="J334">
        <v>5440000</v>
      </c>
      <c r="K334" t="s">
        <v>36</v>
      </c>
    </row>
    <row r="335" spans="1:11" x14ac:dyDescent="0.3">
      <c r="A335">
        <v>45260</v>
      </c>
      <c r="B335" t="s">
        <v>19</v>
      </c>
      <c r="C335" t="s">
        <v>11</v>
      </c>
      <c r="D335">
        <v>4</v>
      </c>
      <c r="E335">
        <v>15000000</v>
      </c>
      <c r="F335">
        <v>4</v>
      </c>
      <c r="G335">
        <v>2592000</v>
      </c>
      <c r="H335">
        <v>57600000</v>
      </c>
      <c r="I335">
        <v>48000000</v>
      </c>
      <c r="J335">
        <v>9600000</v>
      </c>
      <c r="K335" t="s">
        <v>36</v>
      </c>
    </row>
    <row r="336" spans="1:11" x14ac:dyDescent="0.3">
      <c r="A336">
        <v>45261</v>
      </c>
      <c r="B336" t="s">
        <v>12</v>
      </c>
      <c r="C336" t="s">
        <v>11</v>
      </c>
      <c r="D336">
        <v>1</v>
      </c>
      <c r="E336">
        <v>17000000</v>
      </c>
      <c r="F336">
        <v>6</v>
      </c>
      <c r="G336">
        <v>2876400</v>
      </c>
      <c r="H336">
        <v>15980000</v>
      </c>
      <c r="I336">
        <v>13600000</v>
      </c>
      <c r="J336">
        <v>2380000</v>
      </c>
      <c r="K336" t="s">
        <v>37</v>
      </c>
    </row>
    <row r="337" spans="1:11" x14ac:dyDescent="0.3">
      <c r="A337">
        <v>45262</v>
      </c>
      <c r="B337" t="s">
        <v>15</v>
      </c>
      <c r="C337" t="s">
        <v>17</v>
      </c>
      <c r="D337">
        <v>1</v>
      </c>
      <c r="E337">
        <v>18000000</v>
      </c>
      <c r="F337">
        <v>4</v>
      </c>
      <c r="G337">
        <v>3110400</v>
      </c>
      <c r="H337">
        <v>17280000</v>
      </c>
      <c r="I337">
        <v>14400000</v>
      </c>
      <c r="J337">
        <v>2880000</v>
      </c>
      <c r="K337" t="s">
        <v>37</v>
      </c>
    </row>
    <row r="338" spans="1:11" x14ac:dyDescent="0.3">
      <c r="A338">
        <v>45263</v>
      </c>
      <c r="B338" t="s">
        <v>10</v>
      </c>
      <c r="C338" t="s">
        <v>11</v>
      </c>
      <c r="D338">
        <v>3</v>
      </c>
      <c r="E338">
        <v>9000000</v>
      </c>
      <c r="F338">
        <v>6</v>
      </c>
      <c r="G338">
        <v>1522800</v>
      </c>
      <c r="H338">
        <v>25380000</v>
      </c>
      <c r="I338">
        <v>21600000</v>
      </c>
      <c r="J338">
        <v>3780000</v>
      </c>
      <c r="K338" t="s">
        <v>37</v>
      </c>
    </row>
    <row r="339" spans="1:11" x14ac:dyDescent="0.3">
      <c r="A339">
        <v>45264</v>
      </c>
      <c r="B339" t="s">
        <v>15</v>
      </c>
      <c r="C339" t="s">
        <v>11</v>
      </c>
      <c r="D339">
        <v>1</v>
      </c>
      <c r="E339">
        <v>18000000</v>
      </c>
      <c r="F339">
        <v>6</v>
      </c>
      <c r="G339">
        <v>3045600</v>
      </c>
      <c r="H339">
        <v>16920000</v>
      </c>
      <c r="I339">
        <v>14400000</v>
      </c>
      <c r="J339">
        <v>2520000</v>
      </c>
      <c r="K339" t="s">
        <v>37</v>
      </c>
    </row>
    <row r="340" spans="1:11" x14ac:dyDescent="0.3">
      <c r="A340">
        <v>45265</v>
      </c>
      <c r="B340" t="s">
        <v>12</v>
      </c>
      <c r="C340" t="s">
        <v>11</v>
      </c>
      <c r="D340">
        <v>1</v>
      </c>
      <c r="E340">
        <v>17000000</v>
      </c>
      <c r="F340">
        <v>6</v>
      </c>
      <c r="G340">
        <v>2876400</v>
      </c>
      <c r="H340">
        <v>15980000</v>
      </c>
      <c r="I340">
        <v>13600000</v>
      </c>
      <c r="J340">
        <v>2380000</v>
      </c>
      <c r="K340" t="s">
        <v>37</v>
      </c>
    </row>
    <row r="341" spans="1:11" x14ac:dyDescent="0.3">
      <c r="A341">
        <v>45266</v>
      </c>
      <c r="B341" t="s">
        <v>15</v>
      </c>
      <c r="C341" t="s">
        <v>18</v>
      </c>
      <c r="D341">
        <v>3</v>
      </c>
      <c r="E341">
        <v>18000000</v>
      </c>
      <c r="F341">
        <v>3</v>
      </c>
      <c r="G341">
        <v>3142800</v>
      </c>
      <c r="H341">
        <v>52380000</v>
      </c>
      <c r="I341">
        <v>43200000</v>
      </c>
      <c r="J341">
        <v>9180000</v>
      </c>
      <c r="K341" t="s">
        <v>37</v>
      </c>
    </row>
    <row r="342" spans="1:11" x14ac:dyDescent="0.3">
      <c r="A342">
        <v>45267</v>
      </c>
      <c r="B342" t="s">
        <v>15</v>
      </c>
      <c r="C342" t="s">
        <v>14</v>
      </c>
      <c r="D342">
        <v>3</v>
      </c>
      <c r="E342">
        <v>18000000</v>
      </c>
      <c r="F342">
        <v>5</v>
      </c>
      <c r="G342">
        <v>3078000</v>
      </c>
      <c r="H342">
        <v>51300000</v>
      </c>
      <c r="I342">
        <v>43200000</v>
      </c>
      <c r="J342">
        <v>8100000</v>
      </c>
      <c r="K342" t="s">
        <v>37</v>
      </c>
    </row>
    <row r="343" spans="1:11" x14ac:dyDescent="0.3">
      <c r="A343">
        <v>45268</v>
      </c>
      <c r="B343" t="s">
        <v>19</v>
      </c>
      <c r="C343" t="s">
        <v>13</v>
      </c>
      <c r="D343">
        <v>4</v>
      </c>
      <c r="E343">
        <v>15000000</v>
      </c>
      <c r="F343">
        <v>4</v>
      </c>
      <c r="G343">
        <v>2592000</v>
      </c>
      <c r="H343">
        <v>57600000</v>
      </c>
      <c r="I343">
        <v>48000000</v>
      </c>
      <c r="J343">
        <v>9600000</v>
      </c>
      <c r="K343" t="s">
        <v>37</v>
      </c>
    </row>
    <row r="344" spans="1:11" x14ac:dyDescent="0.3">
      <c r="A344">
        <v>45269</v>
      </c>
      <c r="B344" t="s">
        <v>16</v>
      </c>
      <c r="C344" t="s">
        <v>18</v>
      </c>
      <c r="D344">
        <v>1</v>
      </c>
      <c r="E344">
        <v>16000000</v>
      </c>
      <c r="F344">
        <v>6</v>
      </c>
      <c r="G344">
        <v>2707200</v>
      </c>
      <c r="H344">
        <v>15040000</v>
      </c>
      <c r="I344">
        <v>12800000</v>
      </c>
      <c r="J344">
        <v>2240000</v>
      </c>
      <c r="K344" t="s">
        <v>37</v>
      </c>
    </row>
    <row r="345" spans="1:11" x14ac:dyDescent="0.3">
      <c r="A345">
        <v>45270</v>
      </c>
      <c r="B345" t="s">
        <v>19</v>
      </c>
      <c r="C345" t="s">
        <v>11</v>
      </c>
      <c r="D345">
        <v>3</v>
      </c>
      <c r="E345">
        <v>15000000</v>
      </c>
      <c r="F345">
        <v>5</v>
      </c>
      <c r="G345">
        <v>2565000</v>
      </c>
      <c r="H345">
        <v>42750000</v>
      </c>
      <c r="I345">
        <v>36000000</v>
      </c>
      <c r="J345">
        <v>6750000</v>
      </c>
      <c r="K345" t="s">
        <v>37</v>
      </c>
    </row>
    <row r="346" spans="1:11" x14ac:dyDescent="0.3">
      <c r="A346">
        <v>45271</v>
      </c>
      <c r="B346" t="s">
        <v>15</v>
      </c>
      <c r="C346" t="s">
        <v>14</v>
      </c>
      <c r="D346">
        <v>2</v>
      </c>
      <c r="E346">
        <v>18000000</v>
      </c>
      <c r="F346">
        <v>4</v>
      </c>
      <c r="G346">
        <v>3110400</v>
      </c>
      <c r="H346">
        <v>34560000</v>
      </c>
      <c r="I346">
        <v>28800000</v>
      </c>
      <c r="J346">
        <v>5760000</v>
      </c>
      <c r="K346" t="s">
        <v>37</v>
      </c>
    </row>
    <row r="347" spans="1:11" x14ac:dyDescent="0.3">
      <c r="A347">
        <v>45272</v>
      </c>
      <c r="B347" t="s">
        <v>10</v>
      </c>
      <c r="C347" t="s">
        <v>13</v>
      </c>
      <c r="D347">
        <v>2</v>
      </c>
      <c r="E347">
        <v>9000000</v>
      </c>
      <c r="F347">
        <v>4</v>
      </c>
      <c r="G347">
        <v>1555200</v>
      </c>
      <c r="H347">
        <v>17280000</v>
      </c>
      <c r="I347">
        <v>14400000</v>
      </c>
      <c r="J347">
        <v>2880000</v>
      </c>
      <c r="K347" t="s">
        <v>37</v>
      </c>
    </row>
    <row r="348" spans="1:11" x14ac:dyDescent="0.3">
      <c r="A348">
        <v>45273</v>
      </c>
      <c r="B348" t="s">
        <v>10</v>
      </c>
      <c r="C348" t="s">
        <v>11</v>
      </c>
      <c r="D348">
        <v>2</v>
      </c>
      <c r="E348">
        <v>9000000</v>
      </c>
      <c r="F348">
        <v>3</v>
      </c>
      <c r="G348">
        <v>1571400</v>
      </c>
      <c r="H348">
        <v>17460000</v>
      </c>
      <c r="I348">
        <v>14400000</v>
      </c>
      <c r="J348">
        <v>3060000</v>
      </c>
      <c r="K348" t="s">
        <v>37</v>
      </c>
    </row>
    <row r="349" spans="1:11" x14ac:dyDescent="0.3">
      <c r="A349">
        <v>45274</v>
      </c>
      <c r="B349" t="s">
        <v>15</v>
      </c>
      <c r="C349" t="s">
        <v>11</v>
      </c>
      <c r="D349">
        <v>3</v>
      </c>
      <c r="E349">
        <v>18000000</v>
      </c>
      <c r="F349">
        <v>2</v>
      </c>
      <c r="G349">
        <v>3175200</v>
      </c>
      <c r="H349">
        <v>52920000</v>
      </c>
      <c r="I349">
        <v>43200000</v>
      </c>
      <c r="J349">
        <v>9720000</v>
      </c>
      <c r="K349" t="s">
        <v>37</v>
      </c>
    </row>
    <row r="350" spans="1:11" x14ac:dyDescent="0.3">
      <c r="A350">
        <v>45275</v>
      </c>
      <c r="B350" t="s">
        <v>16</v>
      </c>
      <c r="C350" t="s">
        <v>11</v>
      </c>
      <c r="D350">
        <v>2</v>
      </c>
      <c r="E350">
        <v>16000000</v>
      </c>
      <c r="F350">
        <v>4</v>
      </c>
      <c r="G350">
        <v>2764800</v>
      </c>
      <c r="H350">
        <v>30720000</v>
      </c>
      <c r="I350">
        <v>25600000</v>
      </c>
      <c r="J350">
        <v>5120000</v>
      </c>
      <c r="K350" t="s">
        <v>37</v>
      </c>
    </row>
    <row r="351" spans="1:11" x14ac:dyDescent="0.3">
      <c r="A351">
        <v>45276</v>
      </c>
      <c r="B351" t="s">
        <v>12</v>
      </c>
      <c r="C351" t="s">
        <v>18</v>
      </c>
      <c r="D351">
        <v>1</v>
      </c>
      <c r="E351">
        <v>17000000</v>
      </c>
      <c r="F351">
        <v>2</v>
      </c>
      <c r="G351">
        <v>2998800</v>
      </c>
      <c r="H351">
        <v>16660000</v>
      </c>
      <c r="I351">
        <v>13600000</v>
      </c>
      <c r="J351">
        <v>3060000</v>
      </c>
      <c r="K351" t="s">
        <v>37</v>
      </c>
    </row>
    <row r="352" spans="1:11" x14ac:dyDescent="0.3">
      <c r="A352">
        <v>45277</v>
      </c>
      <c r="B352" t="s">
        <v>19</v>
      </c>
      <c r="C352" t="s">
        <v>18</v>
      </c>
      <c r="D352">
        <v>1</v>
      </c>
      <c r="E352">
        <v>15000000</v>
      </c>
      <c r="F352">
        <v>5</v>
      </c>
      <c r="G352">
        <v>2565000</v>
      </c>
      <c r="H352">
        <v>14250000</v>
      </c>
      <c r="I352">
        <v>12000000</v>
      </c>
      <c r="J352">
        <v>2250000</v>
      </c>
      <c r="K352" t="s">
        <v>37</v>
      </c>
    </row>
    <row r="353" spans="1:11" x14ac:dyDescent="0.3">
      <c r="A353">
        <v>45278</v>
      </c>
      <c r="B353" t="s">
        <v>12</v>
      </c>
      <c r="C353" t="s">
        <v>11</v>
      </c>
      <c r="D353">
        <v>2</v>
      </c>
      <c r="E353">
        <v>17000000</v>
      </c>
      <c r="F353">
        <v>4</v>
      </c>
      <c r="G353">
        <v>2937600</v>
      </c>
      <c r="H353">
        <v>32640000</v>
      </c>
      <c r="I353">
        <v>27200000</v>
      </c>
      <c r="J353">
        <v>5440000</v>
      </c>
      <c r="K353" t="s">
        <v>37</v>
      </c>
    </row>
    <row r="354" spans="1:11" x14ac:dyDescent="0.3">
      <c r="A354">
        <v>45279</v>
      </c>
      <c r="B354" t="s">
        <v>16</v>
      </c>
      <c r="C354" t="s">
        <v>18</v>
      </c>
      <c r="D354">
        <v>2</v>
      </c>
      <c r="E354">
        <v>16000000</v>
      </c>
      <c r="F354">
        <v>2</v>
      </c>
      <c r="G354">
        <v>2822400</v>
      </c>
      <c r="H354">
        <v>31360000</v>
      </c>
      <c r="I354">
        <v>25600000</v>
      </c>
      <c r="J354">
        <v>5760000</v>
      </c>
      <c r="K354" t="s">
        <v>37</v>
      </c>
    </row>
    <row r="355" spans="1:11" x14ac:dyDescent="0.3">
      <c r="A355">
        <v>45280</v>
      </c>
      <c r="B355" t="s">
        <v>12</v>
      </c>
      <c r="C355" t="s">
        <v>17</v>
      </c>
      <c r="D355">
        <v>3</v>
      </c>
      <c r="E355">
        <v>17000000</v>
      </c>
      <c r="F355">
        <v>6</v>
      </c>
      <c r="G355">
        <v>2876400</v>
      </c>
      <c r="H355">
        <v>47940000</v>
      </c>
      <c r="I355">
        <v>40800000</v>
      </c>
      <c r="J355">
        <v>7140000</v>
      </c>
      <c r="K355" t="s">
        <v>37</v>
      </c>
    </row>
    <row r="356" spans="1:11" x14ac:dyDescent="0.3">
      <c r="A356">
        <v>45281</v>
      </c>
      <c r="B356" t="s">
        <v>10</v>
      </c>
      <c r="C356" t="s">
        <v>13</v>
      </c>
      <c r="D356">
        <v>2</v>
      </c>
      <c r="E356">
        <v>9000000</v>
      </c>
      <c r="F356">
        <v>5</v>
      </c>
      <c r="G356">
        <v>1539000</v>
      </c>
      <c r="H356">
        <v>17100000</v>
      </c>
      <c r="I356">
        <v>14400000</v>
      </c>
      <c r="J356">
        <v>2700000</v>
      </c>
      <c r="K356" t="s">
        <v>37</v>
      </c>
    </row>
    <row r="357" spans="1:11" x14ac:dyDescent="0.3">
      <c r="A357">
        <v>45282</v>
      </c>
      <c r="B357" t="s">
        <v>19</v>
      </c>
      <c r="C357" t="s">
        <v>18</v>
      </c>
      <c r="D357">
        <v>1</v>
      </c>
      <c r="E357">
        <v>15000000</v>
      </c>
      <c r="F357">
        <v>4</v>
      </c>
      <c r="G357">
        <v>2592000</v>
      </c>
      <c r="H357">
        <v>14400000</v>
      </c>
      <c r="I357">
        <v>12000000</v>
      </c>
      <c r="J357">
        <v>2400000</v>
      </c>
      <c r="K357" t="s">
        <v>37</v>
      </c>
    </row>
    <row r="358" spans="1:11" x14ac:dyDescent="0.3">
      <c r="A358">
        <v>45283</v>
      </c>
      <c r="B358" t="s">
        <v>15</v>
      </c>
      <c r="C358" t="s">
        <v>11</v>
      </c>
      <c r="D358">
        <v>3</v>
      </c>
      <c r="E358">
        <v>18000000</v>
      </c>
      <c r="F358">
        <v>4</v>
      </c>
      <c r="G358">
        <v>3110400</v>
      </c>
      <c r="H358">
        <v>51840000</v>
      </c>
      <c r="I358">
        <v>43200000</v>
      </c>
      <c r="J358">
        <v>8640000</v>
      </c>
      <c r="K358" t="s">
        <v>37</v>
      </c>
    </row>
    <row r="359" spans="1:11" x14ac:dyDescent="0.3">
      <c r="A359">
        <v>45284</v>
      </c>
      <c r="B359" t="s">
        <v>15</v>
      </c>
      <c r="C359" t="s">
        <v>17</v>
      </c>
      <c r="D359">
        <v>1</v>
      </c>
      <c r="E359">
        <v>18000000</v>
      </c>
      <c r="F359">
        <v>2</v>
      </c>
      <c r="G359">
        <v>3175200</v>
      </c>
      <c r="H359">
        <v>17640000</v>
      </c>
      <c r="I359">
        <v>14400000</v>
      </c>
      <c r="J359">
        <v>3240000</v>
      </c>
      <c r="K359" t="s">
        <v>37</v>
      </c>
    </row>
    <row r="360" spans="1:11" x14ac:dyDescent="0.3">
      <c r="A360">
        <v>45285</v>
      </c>
      <c r="B360" t="s">
        <v>16</v>
      </c>
      <c r="C360" t="s">
        <v>11</v>
      </c>
      <c r="D360">
        <v>2</v>
      </c>
      <c r="E360">
        <v>16000000</v>
      </c>
      <c r="F360">
        <v>4</v>
      </c>
      <c r="G360">
        <v>2764800</v>
      </c>
      <c r="H360">
        <v>30720000</v>
      </c>
      <c r="I360">
        <v>25600000</v>
      </c>
      <c r="J360">
        <v>5120000</v>
      </c>
      <c r="K360" t="s">
        <v>37</v>
      </c>
    </row>
    <row r="361" spans="1:11" x14ac:dyDescent="0.3">
      <c r="A361">
        <v>45286</v>
      </c>
      <c r="B361" t="s">
        <v>12</v>
      </c>
      <c r="C361" t="s">
        <v>14</v>
      </c>
      <c r="D361">
        <v>3</v>
      </c>
      <c r="E361">
        <v>17000000</v>
      </c>
      <c r="F361">
        <v>5</v>
      </c>
      <c r="G361">
        <v>2907000</v>
      </c>
      <c r="H361">
        <v>48450000</v>
      </c>
      <c r="I361">
        <v>40800000</v>
      </c>
      <c r="J361">
        <v>7650000</v>
      </c>
      <c r="K361" t="s">
        <v>37</v>
      </c>
    </row>
    <row r="362" spans="1:11" x14ac:dyDescent="0.3">
      <c r="A362">
        <v>45287</v>
      </c>
      <c r="B362" t="s">
        <v>15</v>
      </c>
      <c r="C362" t="s">
        <v>11</v>
      </c>
      <c r="D362">
        <v>1</v>
      </c>
      <c r="E362">
        <v>18000000</v>
      </c>
      <c r="F362">
        <v>6</v>
      </c>
      <c r="G362">
        <v>3045600</v>
      </c>
      <c r="H362">
        <v>16920000</v>
      </c>
      <c r="I362">
        <v>14400000</v>
      </c>
      <c r="J362">
        <v>2520000</v>
      </c>
      <c r="K362" t="s">
        <v>37</v>
      </c>
    </row>
    <row r="363" spans="1:11" x14ac:dyDescent="0.3">
      <c r="A363">
        <v>45288</v>
      </c>
      <c r="B363" t="s">
        <v>19</v>
      </c>
      <c r="C363" t="s">
        <v>11</v>
      </c>
      <c r="D363">
        <v>4</v>
      </c>
      <c r="E363">
        <v>15000000</v>
      </c>
      <c r="F363">
        <v>4</v>
      </c>
      <c r="G363">
        <v>2592000</v>
      </c>
      <c r="H363">
        <v>57600000</v>
      </c>
      <c r="I363">
        <v>48000000</v>
      </c>
      <c r="J363">
        <v>9600000</v>
      </c>
      <c r="K363" t="s">
        <v>37</v>
      </c>
    </row>
    <row r="364" spans="1:11" x14ac:dyDescent="0.3">
      <c r="A364">
        <v>45289</v>
      </c>
      <c r="B364" t="s">
        <v>10</v>
      </c>
      <c r="C364" t="s">
        <v>14</v>
      </c>
      <c r="D364">
        <v>3</v>
      </c>
      <c r="E364">
        <v>9000000</v>
      </c>
      <c r="F364">
        <v>2</v>
      </c>
      <c r="G364">
        <v>1587600</v>
      </c>
      <c r="H364">
        <v>26460000</v>
      </c>
      <c r="I364">
        <v>21600000</v>
      </c>
      <c r="J364">
        <v>4860000</v>
      </c>
      <c r="K364" t="s">
        <v>37</v>
      </c>
    </row>
    <row r="365" spans="1:11" x14ac:dyDescent="0.3">
      <c r="A365">
        <v>45290</v>
      </c>
      <c r="B365" t="s">
        <v>15</v>
      </c>
      <c r="C365" t="s">
        <v>13</v>
      </c>
      <c r="D365">
        <v>1</v>
      </c>
      <c r="E365">
        <v>18000000</v>
      </c>
      <c r="F365">
        <v>3</v>
      </c>
      <c r="G365">
        <v>3142800</v>
      </c>
      <c r="H365">
        <v>17460000</v>
      </c>
      <c r="I365">
        <v>14400000</v>
      </c>
      <c r="J365">
        <v>3060000</v>
      </c>
      <c r="K365" t="s">
        <v>37</v>
      </c>
    </row>
    <row r="366" spans="1:11" x14ac:dyDescent="0.3">
      <c r="A366">
        <v>45291</v>
      </c>
      <c r="B366" t="s">
        <v>16</v>
      </c>
      <c r="C366" t="s">
        <v>17</v>
      </c>
      <c r="D366">
        <v>3</v>
      </c>
      <c r="E366">
        <v>16000000</v>
      </c>
      <c r="F366">
        <v>4</v>
      </c>
      <c r="G366">
        <v>2764800</v>
      </c>
      <c r="H366">
        <v>46080000</v>
      </c>
      <c r="I366">
        <v>38400000</v>
      </c>
      <c r="J366">
        <v>7680000</v>
      </c>
      <c r="K366" t="s">
        <v>37</v>
      </c>
    </row>
    <row r="367" spans="1:11" x14ac:dyDescent="0.3">
      <c r="A367">
        <v>45292</v>
      </c>
      <c r="B367" t="s">
        <v>10</v>
      </c>
      <c r="C367" t="s">
        <v>17</v>
      </c>
      <c r="D367">
        <v>4</v>
      </c>
      <c r="E367">
        <v>9000000</v>
      </c>
      <c r="F367">
        <v>3</v>
      </c>
      <c r="G367">
        <v>1571400</v>
      </c>
      <c r="H367">
        <v>34920000</v>
      </c>
      <c r="I367">
        <v>28800000</v>
      </c>
      <c r="J367">
        <v>6120000</v>
      </c>
      <c r="K367" t="s">
        <v>26</v>
      </c>
    </row>
    <row r="368" spans="1:11" x14ac:dyDescent="0.3">
      <c r="A368">
        <v>45293</v>
      </c>
      <c r="B368" t="s">
        <v>12</v>
      </c>
      <c r="C368" t="s">
        <v>17</v>
      </c>
      <c r="D368">
        <v>2</v>
      </c>
      <c r="E368">
        <v>17000000</v>
      </c>
      <c r="F368">
        <v>6</v>
      </c>
      <c r="G368">
        <v>2876400</v>
      </c>
      <c r="H368">
        <v>31960000</v>
      </c>
      <c r="I368">
        <v>27200000</v>
      </c>
      <c r="J368">
        <v>4760000</v>
      </c>
      <c r="K368" t="s">
        <v>26</v>
      </c>
    </row>
    <row r="369" spans="1:11" x14ac:dyDescent="0.3">
      <c r="A369">
        <v>45294</v>
      </c>
      <c r="B369" t="s">
        <v>16</v>
      </c>
      <c r="C369" t="s">
        <v>13</v>
      </c>
      <c r="D369">
        <v>4</v>
      </c>
      <c r="E369">
        <v>16000000</v>
      </c>
      <c r="F369">
        <v>4</v>
      </c>
      <c r="G369">
        <v>2764800</v>
      </c>
      <c r="H369">
        <v>61440000</v>
      </c>
      <c r="I369">
        <v>51200000</v>
      </c>
      <c r="J369">
        <v>10240000</v>
      </c>
      <c r="K369" t="s">
        <v>26</v>
      </c>
    </row>
    <row r="370" spans="1:11" x14ac:dyDescent="0.3">
      <c r="A370">
        <v>45295</v>
      </c>
      <c r="B370" t="s">
        <v>10</v>
      </c>
      <c r="C370" t="s">
        <v>13</v>
      </c>
      <c r="D370">
        <v>2</v>
      </c>
      <c r="E370">
        <v>9000000</v>
      </c>
      <c r="F370">
        <v>2</v>
      </c>
      <c r="G370">
        <v>1587600</v>
      </c>
      <c r="H370">
        <v>17640000</v>
      </c>
      <c r="I370">
        <v>14400000</v>
      </c>
      <c r="J370">
        <v>3240000</v>
      </c>
      <c r="K370" t="s">
        <v>26</v>
      </c>
    </row>
    <row r="371" spans="1:11" x14ac:dyDescent="0.3">
      <c r="A371">
        <v>45296</v>
      </c>
      <c r="B371" t="s">
        <v>12</v>
      </c>
      <c r="C371" t="s">
        <v>17</v>
      </c>
      <c r="D371">
        <v>2</v>
      </c>
      <c r="E371">
        <v>17000000</v>
      </c>
      <c r="F371">
        <v>4</v>
      </c>
      <c r="G371">
        <v>2937600</v>
      </c>
      <c r="H371">
        <v>32640000</v>
      </c>
      <c r="I371">
        <v>27200000</v>
      </c>
      <c r="J371">
        <v>5440000</v>
      </c>
      <c r="K371" t="s">
        <v>26</v>
      </c>
    </row>
    <row r="372" spans="1:11" x14ac:dyDescent="0.3">
      <c r="A372">
        <v>45297</v>
      </c>
      <c r="B372" t="s">
        <v>16</v>
      </c>
      <c r="C372" t="s">
        <v>11</v>
      </c>
      <c r="D372">
        <v>1</v>
      </c>
      <c r="E372">
        <v>16000000</v>
      </c>
      <c r="F372">
        <v>3</v>
      </c>
      <c r="G372">
        <v>2793600</v>
      </c>
      <c r="H372">
        <v>15520000</v>
      </c>
      <c r="I372">
        <v>12800000</v>
      </c>
      <c r="J372">
        <v>2720000</v>
      </c>
      <c r="K372" t="s">
        <v>26</v>
      </c>
    </row>
    <row r="373" spans="1:11" x14ac:dyDescent="0.3">
      <c r="A373">
        <v>45298</v>
      </c>
      <c r="B373" t="s">
        <v>16</v>
      </c>
      <c r="C373" t="s">
        <v>18</v>
      </c>
      <c r="D373">
        <v>3</v>
      </c>
      <c r="E373">
        <v>16000000</v>
      </c>
      <c r="F373">
        <v>6</v>
      </c>
      <c r="G373">
        <v>2707200</v>
      </c>
      <c r="H373">
        <v>45120000</v>
      </c>
      <c r="I373">
        <v>38400000</v>
      </c>
      <c r="J373">
        <v>6720000</v>
      </c>
      <c r="K373" t="s">
        <v>26</v>
      </c>
    </row>
    <row r="374" spans="1:11" x14ac:dyDescent="0.3">
      <c r="A374">
        <v>45299</v>
      </c>
      <c r="B374" t="s">
        <v>16</v>
      </c>
      <c r="C374" t="s">
        <v>17</v>
      </c>
      <c r="D374">
        <v>2</v>
      </c>
      <c r="E374">
        <v>16000000</v>
      </c>
      <c r="F374">
        <v>2</v>
      </c>
      <c r="G374">
        <v>2822400</v>
      </c>
      <c r="H374">
        <v>31360000</v>
      </c>
      <c r="I374">
        <v>25600000</v>
      </c>
      <c r="J374">
        <v>5760000</v>
      </c>
      <c r="K374" t="s">
        <v>26</v>
      </c>
    </row>
    <row r="375" spans="1:11" x14ac:dyDescent="0.3">
      <c r="A375">
        <v>45300</v>
      </c>
      <c r="B375" t="s">
        <v>16</v>
      </c>
      <c r="C375" t="s">
        <v>13</v>
      </c>
      <c r="D375">
        <v>3</v>
      </c>
      <c r="E375">
        <v>16000000</v>
      </c>
      <c r="F375">
        <v>6</v>
      </c>
      <c r="G375">
        <v>2707200</v>
      </c>
      <c r="H375">
        <v>45120000</v>
      </c>
      <c r="I375">
        <v>38400000</v>
      </c>
      <c r="J375">
        <v>6720000</v>
      </c>
      <c r="K375" t="s">
        <v>26</v>
      </c>
    </row>
    <row r="376" spans="1:11" x14ac:dyDescent="0.3">
      <c r="A376">
        <v>45301</v>
      </c>
      <c r="B376" t="s">
        <v>12</v>
      </c>
      <c r="C376" t="s">
        <v>18</v>
      </c>
      <c r="D376">
        <v>2</v>
      </c>
      <c r="E376">
        <v>17000000</v>
      </c>
      <c r="F376">
        <v>2</v>
      </c>
      <c r="G376">
        <v>2998800</v>
      </c>
      <c r="H376">
        <v>33320000</v>
      </c>
      <c r="I376">
        <v>27200000</v>
      </c>
      <c r="J376">
        <v>6120000</v>
      </c>
      <c r="K376" t="s">
        <v>26</v>
      </c>
    </row>
    <row r="377" spans="1:11" x14ac:dyDescent="0.3">
      <c r="A377">
        <v>45302</v>
      </c>
      <c r="B377" t="s">
        <v>10</v>
      </c>
      <c r="C377" t="s">
        <v>13</v>
      </c>
      <c r="D377">
        <v>2</v>
      </c>
      <c r="E377">
        <v>9000000</v>
      </c>
      <c r="F377">
        <v>4</v>
      </c>
      <c r="G377">
        <v>1555200</v>
      </c>
      <c r="H377">
        <v>17280000</v>
      </c>
      <c r="I377">
        <v>14400000</v>
      </c>
      <c r="J377">
        <v>2880000</v>
      </c>
      <c r="K377" t="s">
        <v>26</v>
      </c>
    </row>
    <row r="378" spans="1:11" x14ac:dyDescent="0.3">
      <c r="A378">
        <v>45303</v>
      </c>
      <c r="B378" t="s">
        <v>12</v>
      </c>
      <c r="C378" t="s">
        <v>13</v>
      </c>
      <c r="D378">
        <v>4</v>
      </c>
      <c r="E378">
        <v>17000000</v>
      </c>
      <c r="F378">
        <v>2</v>
      </c>
      <c r="G378">
        <v>2998800</v>
      </c>
      <c r="H378">
        <v>66640000</v>
      </c>
      <c r="I378">
        <v>54400000</v>
      </c>
      <c r="J378">
        <v>12240000</v>
      </c>
      <c r="K378" t="s">
        <v>26</v>
      </c>
    </row>
    <row r="379" spans="1:11" x14ac:dyDescent="0.3">
      <c r="A379">
        <v>45304</v>
      </c>
      <c r="B379" t="s">
        <v>12</v>
      </c>
      <c r="C379" t="s">
        <v>13</v>
      </c>
      <c r="D379">
        <v>3</v>
      </c>
      <c r="E379">
        <v>17000000</v>
      </c>
      <c r="F379">
        <v>5</v>
      </c>
      <c r="G379">
        <v>2907000</v>
      </c>
      <c r="H379">
        <v>48450000</v>
      </c>
      <c r="I379">
        <v>40800000</v>
      </c>
      <c r="J379">
        <v>7650000</v>
      </c>
      <c r="K379" t="s">
        <v>26</v>
      </c>
    </row>
    <row r="380" spans="1:11" x14ac:dyDescent="0.3">
      <c r="A380">
        <v>45305</v>
      </c>
      <c r="B380" t="s">
        <v>19</v>
      </c>
      <c r="C380" t="s">
        <v>11</v>
      </c>
      <c r="D380">
        <v>3</v>
      </c>
      <c r="E380">
        <v>15000000</v>
      </c>
      <c r="F380">
        <v>2</v>
      </c>
      <c r="G380">
        <v>2646000</v>
      </c>
      <c r="H380">
        <v>44100000</v>
      </c>
      <c r="I380">
        <v>36000000</v>
      </c>
      <c r="J380">
        <v>8100000</v>
      </c>
      <c r="K380" t="s">
        <v>26</v>
      </c>
    </row>
    <row r="381" spans="1:11" x14ac:dyDescent="0.3">
      <c r="A381">
        <v>45306</v>
      </c>
      <c r="B381" t="s">
        <v>10</v>
      </c>
      <c r="C381" t="s">
        <v>11</v>
      </c>
      <c r="D381">
        <v>4</v>
      </c>
      <c r="E381">
        <v>9000000</v>
      </c>
      <c r="F381">
        <v>5</v>
      </c>
      <c r="G381">
        <v>1539000</v>
      </c>
      <c r="H381">
        <v>34200000</v>
      </c>
      <c r="I381">
        <v>28800000</v>
      </c>
      <c r="J381">
        <v>5400000</v>
      </c>
      <c r="K381" t="s">
        <v>26</v>
      </c>
    </row>
    <row r="382" spans="1:11" x14ac:dyDescent="0.3">
      <c r="A382">
        <v>45307</v>
      </c>
      <c r="B382" t="s">
        <v>12</v>
      </c>
      <c r="C382" t="s">
        <v>13</v>
      </c>
      <c r="D382">
        <v>3</v>
      </c>
      <c r="E382">
        <v>17000000</v>
      </c>
      <c r="F382">
        <v>3</v>
      </c>
      <c r="G382">
        <v>2968200</v>
      </c>
      <c r="H382">
        <v>49470000</v>
      </c>
      <c r="I382">
        <v>40800000</v>
      </c>
      <c r="J382">
        <v>8670000</v>
      </c>
      <c r="K382" t="s">
        <v>26</v>
      </c>
    </row>
    <row r="383" spans="1:11" x14ac:dyDescent="0.3">
      <c r="A383">
        <v>45308</v>
      </c>
      <c r="B383" t="s">
        <v>16</v>
      </c>
      <c r="C383" t="s">
        <v>18</v>
      </c>
      <c r="D383">
        <v>1</v>
      </c>
      <c r="E383">
        <v>16000000</v>
      </c>
      <c r="F383">
        <v>2</v>
      </c>
      <c r="G383">
        <v>2822400</v>
      </c>
      <c r="H383">
        <v>15680000</v>
      </c>
      <c r="I383">
        <v>12800000</v>
      </c>
      <c r="J383">
        <v>2880000</v>
      </c>
      <c r="K383" t="s">
        <v>26</v>
      </c>
    </row>
    <row r="384" spans="1:11" x14ac:dyDescent="0.3">
      <c r="A384">
        <v>45309</v>
      </c>
      <c r="B384" t="s">
        <v>10</v>
      </c>
      <c r="C384" t="s">
        <v>11</v>
      </c>
      <c r="D384">
        <v>2</v>
      </c>
      <c r="E384">
        <v>9000000</v>
      </c>
      <c r="F384">
        <v>3</v>
      </c>
      <c r="G384">
        <v>1571400</v>
      </c>
      <c r="H384">
        <v>17460000</v>
      </c>
      <c r="I384">
        <v>14400000</v>
      </c>
      <c r="J384">
        <v>3060000</v>
      </c>
      <c r="K384" t="s">
        <v>26</v>
      </c>
    </row>
    <row r="385" spans="1:11" x14ac:dyDescent="0.3">
      <c r="A385">
        <v>45310</v>
      </c>
      <c r="B385" t="s">
        <v>19</v>
      </c>
      <c r="C385" t="s">
        <v>13</v>
      </c>
      <c r="D385">
        <v>3</v>
      </c>
      <c r="E385">
        <v>15000000</v>
      </c>
      <c r="F385">
        <v>5</v>
      </c>
      <c r="G385">
        <v>2565000</v>
      </c>
      <c r="H385">
        <v>42750000</v>
      </c>
      <c r="I385">
        <v>36000000</v>
      </c>
      <c r="J385">
        <v>6750000</v>
      </c>
      <c r="K385" t="s">
        <v>26</v>
      </c>
    </row>
    <row r="386" spans="1:11" x14ac:dyDescent="0.3">
      <c r="A386">
        <v>45311</v>
      </c>
      <c r="B386" t="s">
        <v>16</v>
      </c>
      <c r="C386" t="s">
        <v>11</v>
      </c>
      <c r="D386">
        <v>2</v>
      </c>
      <c r="E386">
        <v>16000000</v>
      </c>
      <c r="F386">
        <v>6</v>
      </c>
      <c r="G386">
        <v>2707200</v>
      </c>
      <c r="H386">
        <v>30080000</v>
      </c>
      <c r="I386">
        <v>25600000</v>
      </c>
      <c r="J386">
        <v>4480000</v>
      </c>
      <c r="K386" t="s">
        <v>26</v>
      </c>
    </row>
    <row r="387" spans="1:11" x14ac:dyDescent="0.3">
      <c r="A387">
        <v>45312</v>
      </c>
      <c r="B387" t="s">
        <v>19</v>
      </c>
      <c r="C387" t="s">
        <v>17</v>
      </c>
      <c r="D387">
        <v>3</v>
      </c>
      <c r="E387">
        <v>15000000</v>
      </c>
      <c r="F387">
        <v>2</v>
      </c>
      <c r="G387">
        <v>2646000</v>
      </c>
      <c r="H387">
        <v>44100000</v>
      </c>
      <c r="I387">
        <v>36000000</v>
      </c>
      <c r="J387">
        <v>8100000</v>
      </c>
      <c r="K387" t="s">
        <v>26</v>
      </c>
    </row>
    <row r="388" spans="1:11" x14ac:dyDescent="0.3">
      <c r="A388">
        <v>45313</v>
      </c>
      <c r="B388" t="s">
        <v>19</v>
      </c>
      <c r="C388" t="s">
        <v>14</v>
      </c>
      <c r="D388">
        <v>1</v>
      </c>
      <c r="E388">
        <v>15000000</v>
      </c>
      <c r="F388">
        <v>6</v>
      </c>
      <c r="G388">
        <v>2538000</v>
      </c>
      <c r="H388">
        <v>14100000</v>
      </c>
      <c r="I388">
        <v>12000000</v>
      </c>
      <c r="J388">
        <v>2100000</v>
      </c>
      <c r="K388" t="s">
        <v>26</v>
      </c>
    </row>
    <row r="389" spans="1:11" x14ac:dyDescent="0.3">
      <c r="A389">
        <v>45314</v>
      </c>
      <c r="B389" t="s">
        <v>16</v>
      </c>
      <c r="C389" t="s">
        <v>11</v>
      </c>
      <c r="D389">
        <v>2</v>
      </c>
      <c r="E389">
        <v>16000000</v>
      </c>
      <c r="F389">
        <v>6</v>
      </c>
      <c r="G389">
        <v>2707200</v>
      </c>
      <c r="H389">
        <v>30080000</v>
      </c>
      <c r="I389">
        <v>25600000</v>
      </c>
      <c r="J389">
        <v>4480000</v>
      </c>
      <c r="K389" t="s">
        <v>26</v>
      </c>
    </row>
    <row r="390" spans="1:11" x14ac:dyDescent="0.3">
      <c r="A390">
        <v>45315</v>
      </c>
      <c r="B390" t="s">
        <v>16</v>
      </c>
      <c r="C390" t="s">
        <v>13</v>
      </c>
      <c r="D390">
        <v>2</v>
      </c>
      <c r="E390">
        <v>16000000</v>
      </c>
      <c r="F390">
        <v>6</v>
      </c>
      <c r="G390">
        <v>2707200</v>
      </c>
      <c r="H390">
        <v>30080000</v>
      </c>
      <c r="I390">
        <v>25600000</v>
      </c>
      <c r="J390">
        <v>4480000</v>
      </c>
      <c r="K390" t="s">
        <v>26</v>
      </c>
    </row>
    <row r="391" spans="1:11" x14ac:dyDescent="0.3">
      <c r="A391">
        <v>45316</v>
      </c>
      <c r="B391" t="s">
        <v>12</v>
      </c>
      <c r="C391" t="s">
        <v>11</v>
      </c>
      <c r="D391">
        <v>2</v>
      </c>
      <c r="E391">
        <v>17000000</v>
      </c>
      <c r="F391">
        <v>4</v>
      </c>
      <c r="G391">
        <v>2937600</v>
      </c>
      <c r="H391">
        <v>32640000</v>
      </c>
      <c r="I391">
        <v>27200000</v>
      </c>
      <c r="J391">
        <v>5440000</v>
      </c>
      <c r="K391" t="s">
        <v>26</v>
      </c>
    </row>
    <row r="392" spans="1:11" x14ac:dyDescent="0.3">
      <c r="A392">
        <v>45317</v>
      </c>
      <c r="B392" t="s">
        <v>16</v>
      </c>
      <c r="C392" t="s">
        <v>13</v>
      </c>
      <c r="D392">
        <v>1</v>
      </c>
      <c r="E392">
        <v>16000000</v>
      </c>
      <c r="F392">
        <v>5</v>
      </c>
      <c r="G392">
        <v>2736000</v>
      </c>
      <c r="H392">
        <v>15200000</v>
      </c>
      <c r="I392">
        <v>12800000</v>
      </c>
      <c r="J392">
        <v>2400000</v>
      </c>
      <c r="K392" t="s">
        <v>26</v>
      </c>
    </row>
    <row r="393" spans="1:11" x14ac:dyDescent="0.3">
      <c r="A393">
        <v>45318</v>
      </c>
      <c r="B393" t="s">
        <v>10</v>
      </c>
      <c r="C393" t="s">
        <v>13</v>
      </c>
      <c r="D393">
        <v>1</v>
      </c>
      <c r="E393">
        <v>9000000</v>
      </c>
      <c r="F393">
        <v>3</v>
      </c>
      <c r="G393">
        <v>1571400</v>
      </c>
      <c r="H393">
        <v>8730000</v>
      </c>
      <c r="I393">
        <v>7200000</v>
      </c>
      <c r="J393">
        <v>1530000</v>
      </c>
      <c r="K393" t="s">
        <v>26</v>
      </c>
    </row>
    <row r="394" spans="1:11" x14ac:dyDescent="0.3">
      <c r="A394">
        <v>45319</v>
      </c>
      <c r="B394" t="s">
        <v>10</v>
      </c>
      <c r="C394" t="s">
        <v>14</v>
      </c>
      <c r="D394">
        <v>1</v>
      </c>
      <c r="E394">
        <v>9000000</v>
      </c>
      <c r="F394">
        <v>3</v>
      </c>
      <c r="G394">
        <v>1571400</v>
      </c>
      <c r="H394">
        <v>8730000</v>
      </c>
      <c r="I394">
        <v>7200000</v>
      </c>
      <c r="J394">
        <v>1530000</v>
      </c>
      <c r="K394" t="s">
        <v>26</v>
      </c>
    </row>
    <row r="395" spans="1:11" x14ac:dyDescent="0.3">
      <c r="A395">
        <v>45320</v>
      </c>
      <c r="B395" t="s">
        <v>19</v>
      </c>
      <c r="C395" t="s">
        <v>14</v>
      </c>
      <c r="D395">
        <v>1</v>
      </c>
      <c r="E395">
        <v>15000000</v>
      </c>
      <c r="F395">
        <v>3</v>
      </c>
      <c r="G395">
        <v>2619000</v>
      </c>
      <c r="H395">
        <v>14550000</v>
      </c>
      <c r="I395">
        <v>12000000</v>
      </c>
      <c r="J395">
        <v>2550000</v>
      </c>
      <c r="K395" t="s">
        <v>26</v>
      </c>
    </row>
    <row r="396" spans="1:11" x14ac:dyDescent="0.3">
      <c r="A396">
        <v>45321</v>
      </c>
      <c r="B396" t="s">
        <v>15</v>
      </c>
      <c r="C396" t="s">
        <v>18</v>
      </c>
      <c r="D396">
        <v>3</v>
      </c>
      <c r="E396">
        <v>18000000</v>
      </c>
      <c r="F396">
        <v>5</v>
      </c>
      <c r="G396">
        <v>3078000</v>
      </c>
      <c r="H396">
        <v>51300000</v>
      </c>
      <c r="I396">
        <v>43200000</v>
      </c>
      <c r="J396">
        <v>8100000</v>
      </c>
      <c r="K396" t="s">
        <v>26</v>
      </c>
    </row>
    <row r="397" spans="1:11" x14ac:dyDescent="0.3">
      <c r="A397">
        <v>45322</v>
      </c>
      <c r="B397" t="s">
        <v>16</v>
      </c>
      <c r="C397" t="s">
        <v>11</v>
      </c>
      <c r="D397">
        <v>1</v>
      </c>
      <c r="E397">
        <v>16000000</v>
      </c>
      <c r="F397">
        <v>6</v>
      </c>
      <c r="G397">
        <v>2707200</v>
      </c>
      <c r="H397">
        <v>15040000</v>
      </c>
      <c r="I397">
        <v>12800000</v>
      </c>
      <c r="J397">
        <v>2240000</v>
      </c>
      <c r="K397" t="s">
        <v>26</v>
      </c>
    </row>
    <row r="398" spans="1:11" x14ac:dyDescent="0.3">
      <c r="A398">
        <v>45323</v>
      </c>
      <c r="B398" t="s">
        <v>19</v>
      </c>
      <c r="C398" t="s">
        <v>13</v>
      </c>
      <c r="D398">
        <v>4</v>
      </c>
      <c r="E398">
        <v>15000000</v>
      </c>
      <c r="F398">
        <v>4</v>
      </c>
      <c r="G398">
        <v>2592000</v>
      </c>
      <c r="H398">
        <v>57600000</v>
      </c>
      <c r="I398">
        <v>48000000</v>
      </c>
      <c r="J398">
        <v>9600000</v>
      </c>
      <c r="K398" t="s">
        <v>27</v>
      </c>
    </row>
    <row r="399" spans="1:11" x14ac:dyDescent="0.3">
      <c r="A399">
        <v>45324</v>
      </c>
      <c r="B399" t="s">
        <v>15</v>
      </c>
      <c r="C399" t="s">
        <v>13</v>
      </c>
      <c r="D399">
        <v>4</v>
      </c>
      <c r="E399">
        <v>18000000</v>
      </c>
      <c r="F399">
        <v>5</v>
      </c>
      <c r="G399">
        <v>3078000</v>
      </c>
      <c r="H399">
        <v>68400000</v>
      </c>
      <c r="I399">
        <v>57600000</v>
      </c>
      <c r="J399">
        <v>10800000</v>
      </c>
      <c r="K399" t="s">
        <v>27</v>
      </c>
    </row>
    <row r="400" spans="1:11" x14ac:dyDescent="0.3">
      <c r="A400">
        <v>45325</v>
      </c>
      <c r="B400" t="s">
        <v>15</v>
      </c>
      <c r="C400" t="s">
        <v>13</v>
      </c>
      <c r="D400">
        <v>1</v>
      </c>
      <c r="E400">
        <v>18000000</v>
      </c>
      <c r="F400">
        <v>5</v>
      </c>
      <c r="G400">
        <v>3078000</v>
      </c>
      <c r="H400">
        <v>17100000</v>
      </c>
      <c r="I400">
        <v>14400000</v>
      </c>
      <c r="J400">
        <v>2700000</v>
      </c>
      <c r="K400" t="s">
        <v>27</v>
      </c>
    </row>
    <row r="401" spans="1:11" x14ac:dyDescent="0.3">
      <c r="A401">
        <v>45326</v>
      </c>
      <c r="B401" t="s">
        <v>19</v>
      </c>
      <c r="C401" t="s">
        <v>18</v>
      </c>
      <c r="D401">
        <v>2</v>
      </c>
      <c r="E401">
        <v>15000000</v>
      </c>
      <c r="F401">
        <v>3</v>
      </c>
      <c r="G401">
        <v>2619000</v>
      </c>
      <c r="H401">
        <v>29100000</v>
      </c>
      <c r="I401">
        <v>24000000</v>
      </c>
      <c r="J401">
        <v>5100000</v>
      </c>
      <c r="K401" t="s">
        <v>27</v>
      </c>
    </row>
    <row r="402" spans="1:11" x14ac:dyDescent="0.3">
      <c r="A402">
        <v>45327</v>
      </c>
      <c r="B402" t="s">
        <v>12</v>
      </c>
      <c r="C402" t="s">
        <v>17</v>
      </c>
      <c r="D402">
        <v>3</v>
      </c>
      <c r="E402">
        <v>17000000</v>
      </c>
      <c r="F402">
        <v>6</v>
      </c>
      <c r="G402">
        <v>2876400</v>
      </c>
      <c r="H402">
        <v>47940000</v>
      </c>
      <c r="I402">
        <v>40800000</v>
      </c>
      <c r="J402">
        <v>7140000</v>
      </c>
      <c r="K402" t="s">
        <v>27</v>
      </c>
    </row>
    <row r="403" spans="1:11" x14ac:dyDescent="0.3">
      <c r="A403">
        <v>45328</v>
      </c>
      <c r="B403" t="s">
        <v>10</v>
      </c>
      <c r="C403" t="s">
        <v>17</v>
      </c>
      <c r="D403">
        <v>4</v>
      </c>
      <c r="E403">
        <v>9000000</v>
      </c>
      <c r="F403">
        <v>2</v>
      </c>
      <c r="G403">
        <v>1587600</v>
      </c>
      <c r="H403">
        <v>35280000</v>
      </c>
      <c r="I403">
        <v>28800000</v>
      </c>
      <c r="J403">
        <v>6480000</v>
      </c>
      <c r="K403" t="s">
        <v>27</v>
      </c>
    </row>
    <row r="404" spans="1:11" x14ac:dyDescent="0.3">
      <c r="A404">
        <v>45329</v>
      </c>
      <c r="B404" t="s">
        <v>16</v>
      </c>
      <c r="C404" t="s">
        <v>18</v>
      </c>
      <c r="D404">
        <v>3</v>
      </c>
      <c r="E404">
        <v>16000000</v>
      </c>
      <c r="F404">
        <v>6</v>
      </c>
      <c r="G404">
        <v>2707200</v>
      </c>
      <c r="H404">
        <v>45120000</v>
      </c>
      <c r="I404">
        <v>38400000</v>
      </c>
      <c r="J404">
        <v>6720000</v>
      </c>
      <c r="K404" t="s">
        <v>27</v>
      </c>
    </row>
    <row r="405" spans="1:11" x14ac:dyDescent="0.3">
      <c r="A405">
        <v>45330</v>
      </c>
      <c r="B405" t="s">
        <v>19</v>
      </c>
      <c r="C405" t="s">
        <v>11</v>
      </c>
      <c r="D405">
        <v>3</v>
      </c>
      <c r="E405">
        <v>15000000</v>
      </c>
      <c r="F405">
        <v>6</v>
      </c>
      <c r="G405">
        <v>2538000</v>
      </c>
      <c r="H405">
        <v>42300000</v>
      </c>
      <c r="I405">
        <v>36000000</v>
      </c>
      <c r="J405">
        <v>6300000</v>
      </c>
      <c r="K405" t="s">
        <v>27</v>
      </c>
    </row>
    <row r="406" spans="1:11" x14ac:dyDescent="0.3">
      <c r="A406">
        <v>45331</v>
      </c>
      <c r="B406" t="s">
        <v>15</v>
      </c>
      <c r="C406" t="s">
        <v>14</v>
      </c>
      <c r="D406">
        <v>3</v>
      </c>
      <c r="E406">
        <v>18000000</v>
      </c>
      <c r="F406">
        <v>2</v>
      </c>
      <c r="G406">
        <v>3175200</v>
      </c>
      <c r="H406">
        <v>52920000</v>
      </c>
      <c r="I406">
        <v>43200000</v>
      </c>
      <c r="J406">
        <v>9720000</v>
      </c>
      <c r="K406" t="s">
        <v>27</v>
      </c>
    </row>
    <row r="407" spans="1:11" x14ac:dyDescent="0.3">
      <c r="A407">
        <v>45332</v>
      </c>
      <c r="B407" t="s">
        <v>16</v>
      </c>
      <c r="C407" t="s">
        <v>11</v>
      </c>
      <c r="D407">
        <v>3</v>
      </c>
      <c r="E407">
        <v>16000000</v>
      </c>
      <c r="F407">
        <v>3</v>
      </c>
      <c r="G407">
        <v>2793600</v>
      </c>
      <c r="H407">
        <v>46560000</v>
      </c>
      <c r="I407">
        <v>38400000</v>
      </c>
      <c r="J407">
        <v>8160000</v>
      </c>
      <c r="K407" t="s">
        <v>27</v>
      </c>
    </row>
    <row r="408" spans="1:11" x14ac:dyDescent="0.3">
      <c r="A408">
        <v>45333</v>
      </c>
      <c r="B408" t="s">
        <v>16</v>
      </c>
      <c r="C408" t="s">
        <v>18</v>
      </c>
      <c r="D408">
        <v>1</v>
      </c>
      <c r="E408">
        <v>16000000</v>
      </c>
      <c r="F408">
        <v>5</v>
      </c>
      <c r="G408">
        <v>2736000</v>
      </c>
      <c r="H408">
        <v>15200000</v>
      </c>
      <c r="I408">
        <v>12800000</v>
      </c>
      <c r="J408">
        <v>2400000</v>
      </c>
      <c r="K408" t="s">
        <v>27</v>
      </c>
    </row>
    <row r="409" spans="1:11" x14ac:dyDescent="0.3">
      <c r="A409">
        <v>45334</v>
      </c>
      <c r="B409" t="s">
        <v>15</v>
      </c>
      <c r="C409" t="s">
        <v>13</v>
      </c>
      <c r="D409">
        <v>1</v>
      </c>
      <c r="E409">
        <v>18000000</v>
      </c>
      <c r="F409">
        <v>3</v>
      </c>
      <c r="G409">
        <v>3142800</v>
      </c>
      <c r="H409">
        <v>17460000</v>
      </c>
      <c r="I409">
        <v>14400000</v>
      </c>
      <c r="J409">
        <v>3060000</v>
      </c>
      <c r="K409" t="s">
        <v>27</v>
      </c>
    </row>
    <row r="410" spans="1:11" x14ac:dyDescent="0.3">
      <c r="A410">
        <v>45335</v>
      </c>
      <c r="B410" t="s">
        <v>12</v>
      </c>
      <c r="C410" t="s">
        <v>14</v>
      </c>
      <c r="D410">
        <v>1</v>
      </c>
      <c r="E410">
        <v>17000000</v>
      </c>
      <c r="F410">
        <v>6</v>
      </c>
      <c r="G410">
        <v>2876400</v>
      </c>
      <c r="H410">
        <v>15980000</v>
      </c>
      <c r="I410">
        <v>13600000</v>
      </c>
      <c r="J410">
        <v>2380000</v>
      </c>
      <c r="K410" t="s">
        <v>27</v>
      </c>
    </row>
    <row r="411" spans="1:11" x14ac:dyDescent="0.3">
      <c r="A411">
        <v>45336</v>
      </c>
      <c r="B411" t="s">
        <v>19</v>
      </c>
      <c r="C411" t="s">
        <v>11</v>
      </c>
      <c r="D411">
        <v>4</v>
      </c>
      <c r="E411">
        <v>15000000</v>
      </c>
      <c r="F411">
        <v>5</v>
      </c>
      <c r="G411">
        <v>2565000</v>
      </c>
      <c r="H411">
        <v>57000000</v>
      </c>
      <c r="I411">
        <v>48000000</v>
      </c>
      <c r="J411">
        <v>9000000</v>
      </c>
      <c r="K411" t="s">
        <v>27</v>
      </c>
    </row>
    <row r="412" spans="1:11" x14ac:dyDescent="0.3">
      <c r="A412">
        <v>45337</v>
      </c>
      <c r="B412" t="s">
        <v>19</v>
      </c>
      <c r="C412" t="s">
        <v>14</v>
      </c>
      <c r="D412">
        <v>4</v>
      </c>
      <c r="E412">
        <v>15000000</v>
      </c>
      <c r="F412">
        <v>5</v>
      </c>
      <c r="G412">
        <v>2565000</v>
      </c>
      <c r="H412">
        <v>57000000</v>
      </c>
      <c r="I412">
        <v>48000000</v>
      </c>
      <c r="J412">
        <v>9000000</v>
      </c>
      <c r="K412" t="s">
        <v>27</v>
      </c>
    </row>
    <row r="413" spans="1:11" x14ac:dyDescent="0.3">
      <c r="A413">
        <v>45338</v>
      </c>
      <c r="B413" t="s">
        <v>16</v>
      </c>
      <c r="C413" t="s">
        <v>18</v>
      </c>
      <c r="D413">
        <v>3</v>
      </c>
      <c r="E413">
        <v>16000000</v>
      </c>
      <c r="F413">
        <v>4</v>
      </c>
      <c r="G413">
        <v>2764800</v>
      </c>
      <c r="H413">
        <v>46080000</v>
      </c>
      <c r="I413">
        <v>38400000</v>
      </c>
      <c r="J413">
        <v>7680000</v>
      </c>
      <c r="K413" t="s">
        <v>27</v>
      </c>
    </row>
    <row r="414" spans="1:11" x14ac:dyDescent="0.3">
      <c r="A414">
        <v>45339</v>
      </c>
      <c r="B414" t="s">
        <v>15</v>
      </c>
      <c r="C414" t="s">
        <v>13</v>
      </c>
      <c r="D414">
        <v>3</v>
      </c>
      <c r="E414">
        <v>18000000</v>
      </c>
      <c r="F414">
        <v>4</v>
      </c>
      <c r="G414">
        <v>3110400</v>
      </c>
      <c r="H414">
        <v>51840000</v>
      </c>
      <c r="I414">
        <v>43200000</v>
      </c>
      <c r="J414">
        <v>8640000</v>
      </c>
      <c r="K414" t="s">
        <v>27</v>
      </c>
    </row>
    <row r="415" spans="1:11" x14ac:dyDescent="0.3">
      <c r="A415">
        <v>45340</v>
      </c>
      <c r="B415" t="s">
        <v>16</v>
      </c>
      <c r="C415" t="s">
        <v>17</v>
      </c>
      <c r="D415">
        <v>3</v>
      </c>
      <c r="E415">
        <v>16000000</v>
      </c>
      <c r="F415">
        <v>6</v>
      </c>
      <c r="G415">
        <v>2707200</v>
      </c>
      <c r="H415">
        <v>45120000</v>
      </c>
      <c r="I415">
        <v>38400000</v>
      </c>
      <c r="J415">
        <v>6720000</v>
      </c>
      <c r="K415" t="s">
        <v>27</v>
      </c>
    </row>
    <row r="416" spans="1:11" x14ac:dyDescent="0.3">
      <c r="A416">
        <v>45341</v>
      </c>
      <c r="B416" t="s">
        <v>12</v>
      </c>
      <c r="C416" t="s">
        <v>18</v>
      </c>
      <c r="D416">
        <v>4</v>
      </c>
      <c r="E416">
        <v>17000000</v>
      </c>
      <c r="F416">
        <v>2</v>
      </c>
      <c r="G416">
        <v>2998800</v>
      </c>
      <c r="H416">
        <v>66640000</v>
      </c>
      <c r="I416">
        <v>54400000</v>
      </c>
      <c r="J416">
        <v>12240000</v>
      </c>
      <c r="K416" t="s">
        <v>27</v>
      </c>
    </row>
    <row r="417" spans="1:11" x14ac:dyDescent="0.3">
      <c r="A417">
        <v>45342</v>
      </c>
      <c r="B417" t="s">
        <v>19</v>
      </c>
      <c r="C417" t="s">
        <v>13</v>
      </c>
      <c r="D417">
        <v>4</v>
      </c>
      <c r="E417">
        <v>15000000</v>
      </c>
      <c r="F417">
        <v>5</v>
      </c>
      <c r="G417">
        <v>2565000</v>
      </c>
      <c r="H417">
        <v>57000000</v>
      </c>
      <c r="I417">
        <v>48000000</v>
      </c>
      <c r="J417">
        <v>9000000</v>
      </c>
      <c r="K417" t="s">
        <v>27</v>
      </c>
    </row>
    <row r="418" spans="1:11" x14ac:dyDescent="0.3">
      <c r="A418">
        <v>45343</v>
      </c>
      <c r="B418" t="s">
        <v>12</v>
      </c>
      <c r="C418" t="s">
        <v>11</v>
      </c>
      <c r="D418">
        <v>4</v>
      </c>
      <c r="E418">
        <v>17000000</v>
      </c>
      <c r="F418">
        <v>6</v>
      </c>
      <c r="G418">
        <v>2876400</v>
      </c>
      <c r="H418">
        <v>63920000</v>
      </c>
      <c r="I418">
        <v>54400000</v>
      </c>
      <c r="J418">
        <v>9520000</v>
      </c>
      <c r="K418" t="s">
        <v>27</v>
      </c>
    </row>
    <row r="419" spans="1:11" x14ac:dyDescent="0.3">
      <c r="A419">
        <v>45344</v>
      </c>
      <c r="B419" t="s">
        <v>12</v>
      </c>
      <c r="C419" t="s">
        <v>18</v>
      </c>
      <c r="D419">
        <v>2</v>
      </c>
      <c r="E419">
        <v>17000000</v>
      </c>
      <c r="F419">
        <v>4</v>
      </c>
      <c r="G419">
        <v>2937600</v>
      </c>
      <c r="H419">
        <v>32640000</v>
      </c>
      <c r="I419">
        <v>27200000</v>
      </c>
      <c r="J419">
        <v>5440000</v>
      </c>
      <c r="K419" t="s">
        <v>27</v>
      </c>
    </row>
    <row r="420" spans="1:11" x14ac:dyDescent="0.3">
      <c r="A420">
        <v>45345</v>
      </c>
      <c r="B420" t="s">
        <v>15</v>
      </c>
      <c r="C420" t="s">
        <v>17</v>
      </c>
      <c r="D420">
        <v>1</v>
      </c>
      <c r="E420">
        <v>18000000</v>
      </c>
      <c r="F420">
        <v>3</v>
      </c>
      <c r="G420">
        <v>3142800</v>
      </c>
      <c r="H420">
        <v>17460000</v>
      </c>
      <c r="I420">
        <v>14400000</v>
      </c>
      <c r="J420">
        <v>3060000</v>
      </c>
      <c r="K420" t="s">
        <v>27</v>
      </c>
    </row>
    <row r="421" spans="1:11" x14ac:dyDescent="0.3">
      <c r="A421">
        <v>45346</v>
      </c>
      <c r="B421" t="s">
        <v>16</v>
      </c>
      <c r="C421" t="s">
        <v>14</v>
      </c>
      <c r="D421">
        <v>1</v>
      </c>
      <c r="E421">
        <v>16000000</v>
      </c>
      <c r="F421">
        <v>4</v>
      </c>
      <c r="G421">
        <v>2764800</v>
      </c>
      <c r="H421">
        <v>15360000</v>
      </c>
      <c r="I421">
        <v>12800000</v>
      </c>
      <c r="J421">
        <v>2560000</v>
      </c>
      <c r="K421" t="s">
        <v>27</v>
      </c>
    </row>
    <row r="422" spans="1:11" x14ac:dyDescent="0.3">
      <c r="A422">
        <v>45347</v>
      </c>
      <c r="B422" t="s">
        <v>19</v>
      </c>
      <c r="C422" t="s">
        <v>11</v>
      </c>
      <c r="D422">
        <v>3</v>
      </c>
      <c r="E422">
        <v>15000000</v>
      </c>
      <c r="F422">
        <v>4</v>
      </c>
      <c r="G422">
        <v>2592000</v>
      </c>
      <c r="H422">
        <v>43200000</v>
      </c>
      <c r="I422">
        <v>36000000</v>
      </c>
      <c r="J422">
        <v>7200000</v>
      </c>
      <c r="K422" t="s">
        <v>27</v>
      </c>
    </row>
    <row r="423" spans="1:11" x14ac:dyDescent="0.3">
      <c r="A423">
        <v>45348</v>
      </c>
      <c r="B423" t="s">
        <v>16</v>
      </c>
      <c r="C423" t="s">
        <v>13</v>
      </c>
      <c r="D423">
        <v>3</v>
      </c>
      <c r="E423">
        <v>16000000</v>
      </c>
      <c r="F423">
        <v>4</v>
      </c>
      <c r="G423">
        <v>2764800</v>
      </c>
      <c r="H423">
        <v>46080000</v>
      </c>
      <c r="I423">
        <v>38400000</v>
      </c>
      <c r="J423">
        <v>7680000</v>
      </c>
      <c r="K423" t="s">
        <v>27</v>
      </c>
    </row>
    <row r="424" spans="1:11" x14ac:dyDescent="0.3">
      <c r="A424">
        <v>45349</v>
      </c>
      <c r="B424" t="s">
        <v>12</v>
      </c>
      <c r="C424" t="s">
        <v>13</v>
      </c>
      <c r="D424">
        <v>4</v>
      </c>
      <c r="E424">
        <v>17000000</v>
      </c>
      <c r="F424">
        <v>3</v>
      </c>
      <c r="G424">
        <v>2968200</v>
      </c>
      <c r="H424">
        <v>65960000</v>
      </c>
      <c r="I424">
        <v>54400000</v>
      </c>
      <c r="J424">
        <v>11560000</v>
      </c>
      <c r="K424" t="s">
        <v>27</v>
      </c>
    </row>
    <row r="425" spans="1:11" x14ac:dyDescent="0.3">
      <c r="A425">
        <v>45350</v>
      </c>
      <c r="B425" t="s">
        <v>19</v>
      </c>
      <c r="C425" t="s">
        <v>18</v>
      </c>
      <c r="D425">
        <v>1</v>
      </c>
      <c r="E425">
        <v>15000000</v>
      </c>
      <c r="F425">
        <v>4</v>
      </c>
      <c r="G425">
        <v>2592000</v>
      </c>
      <c r="H425">
        <v>14400000</v>
      </c>
      <c r="I425">
        <v>12000000</v>
      </c>
      <c r="J425">
        <v>2400000</v>
      </c>
      <c r="K425" t="s">
        <v>27</v>
      </c>
    </row>
    <row r="426" spans="1:11" x14ac:dyDescent="0.3">
      <c r="A426">
        <v>45351</v>
      </c>
      <c r="B426" t="s">
        <v>16</v>
      </c>
      <c r="C426" t="s">
        <v>17</v>
      </c>
      <c r="D426">
        <v>4</v>
      </c>
      <c r="E426">
        <v>16000000</v>
      </c>
      <c r="F426">
        <v>5</v>
      </c>
      <c r="G426">
        <v>2736000</v>
      </c>
      <c r="H426">
        <v>60800000</v>
      </c>
      <c r="I426">
        <v>51200000</v>
      </c>
      <c r="J426">
        <v>9600000</v>
      </c>
      <c r="K426" t="s">
        <v>27</v>
      </c>
    </row>
    <row r="427" spans="1:11" x14ac:dyDescent="0.3">
      <c r="A427">
        <v>45352</v>
      </c>
      <c r="B427" t="s">
        <v>15</v>
      </c>
      <c r="C427" t="s">
        <v>14</v>
      </c>
      <c r="D427">
        <v>3</v>
      </c>
      <c r="E427">
        <v>18000000</v>
      </c>
      <c r="F427">
        <v>5</v>
      </c>
      <c r="G427">
        <v>3078000</v>
      </c>
      <c r="H427">
        <v>51300000</v>
      </c>
      <c r="I427">
        <v>43200000</v>
      </c>
      <c r="J427">
        <v>8100000</v>
      </c>
      <c r="K427" t="s">
        <v>28</v>
      </c>
    </row>
    <row r="428" spans="1:11" x14ac:dyDescent="0.3">
      <c r="A428">
        <v>45353</v>
      </c>
      <c r="B428" t="s">
        <v>10</v>
      </c>
      <c r="C428" t="s">
        <v>14</v>
      </c>
      <c r="D428">
        <v>4</v>
      </c>
      <c r="E428">
        <v>9000000</v>
      </c>
      <c r="F428">
        <v>4</v>
      </c>
      <c r="G428">
        <v>1555200</v>
      </c>
      <c r="H428">
        <v>34560000</v>
      </c>
      <c r="I428">
        <v>28800000</v>
      </c>
      <c r="J428">
        <v>5760000</v>
      </c>
      <c r="K428" t="s">
        <v>28</v>
      </c>
    </row>
    <row r="429" spans="1:11" x14ac:dyDescent="0.3">
      <c r="A429">
        <v>45354</v>
      </c>
      <c r="B429" t="s">
        <v>16</v>
      </c>
      <c r="C429" t="s">
        <v>14</v>
      </c>
      <c r="D429">
        <v>2</v>
      </c>
      <c r="E429">
        <v>16000000</v>
      </c>
      <c r="F429">
        <v>4</v>
      </c>
      <c r="G429">
        <v>2764800</v>
      </c>
      <c r="H429">
        <v>30720000</v>
      </c>
      <c r="I429">
        <v>25600000</v>
      </c>
      <c r="J429">
        <v>5120000</v>
      </c>
      <c r="K429" t="s">
        <v>28</v>
      </c>
    </row>
    <row r="430" spans="1:11" x14ac:dyDescent="0.3">
      <c r="A430">
        <v>45355</v>
      </c>
      <c r="B430" t="s">
        <v>16</v>
      </c>
      <c r="C430" t="s">
        <v>17</v>
      </c>
      <c r="D430">
        <v>4</v>
      </c>
      <c r="E430">
        <v>16000000</v>
      </c>
      <c r="F430">
        <v>4</v>
      </c>
      <c r="G430">
        <v>2764800</v>
      </c>
      <c r="H430">
        <v>61440000</v>
      </c>
      <c r="I430">
        <v>51200000</v>
      </c>
      <c r="J430">
        <v>10240000</v>
      </c>
      <c r="K430" t="s">
        <v>28</v>
      </c>
    </row>
    <row r="431" spans="1:11" x14ac:dyDescent="0.3">
      <c r="A431">
        <v>45356</v>
      </c>
      <c r="B431" t="s">
        <v>15</v>
      </c>
      <c r="C431" t="s">
        <v>13</v>
      </c>
      <c r="D431">
        <v>3</v>
      </c>
      <c r="E431">
        <v>18000000</v>
      </c>
      <c r="F431">
        <v>4</v>
      </c>
      <c r="G431">
        <v>3110400</v>
      </c>
      <c r="H431">
        <v>51840000</v>
      </c>
      <c r="I431">
        <v>43200000</v>
      </c>
      <c r="J431">
        <v>8640000</v>
      </c>
      <c r="K431" t="s">
        <v>28</v>
      </c>
    </row>
    <row r="432" spans="1:11" x14ac:dyDescent="0.3">
      <c r="A432">
        <v>45357</v>
      </c>
      <c r="B432" t="s">
        <v>16</v>
      </c>
      <c r="C432" t="s">
        <v>18</v>
      </c>
      <c r="D432">
        <v>3</v>
      </c>
      <c r="E432">
        <v>16000000</v>
      </c>
      <c r="F432">
        <v>5</v>
      </c>
      <c r="G432">
        <v>2736000</v>
      </c>
      <c r="H432">
        <v>45600000</v>
      </c>
      <c r="I432">
        <v>38400000</v>
      </c>
      <c r="J432">
        <v>7200000</v>
      </c>
      <c r="K432" t="s">
        <v>28</v>
      </c>
    </row>
    <row r="433" spans="1:11" x14ac:dyDescent="0.3">
      <c r="A433">
        <v>45358</v>
      </c>
      <c r="B433" t="s">
        <v>19</v>
      </c>
      <c r="C433" t="s">
        <v>13</v>
      </c>
      <c r="D433">
        <v>4</v>
      </c>
      <c r="E433">
        <v>15000000</v>
      </c>
      <c r="F433">
        <v>3</v>
      </c>
      <c r="G433">
        <v>2619000</v>
      </c>
      <c r="H433">
        <v>58200000</v>
      </c>
      <c r="I433">
        <v>48000000</v>
      </c>
      <c r="J433">
        <v>10200000</v>
      </c>
      <c r="K433" t="s">
        <v>28</v>
      </c>
    </row>
    <row r="434" spans="1:11" x14ac:dyDescent="0.3">
      <c r="A434">
        <v>45359</v>
      </c>
      <c r="B434" t="s">
        <v>19</v>
      </c>
      <c r="C434" t="s">
        <v>11</v>
      </c>
      <c r="D434">
        <v>2</v>
      </c>
      <c r="E434">
        <v>15000000</v>
      </c>
      <c r="F434">
        <v>4</v>
      </c>
      <c r="G434">
        <v>2592000</v>
      </c>
      <c r="H434">
        <v>28800000</v>
      </c>
      <c r="I434">
        <v>24000000</v>
      </c>
      <c r="J434">
        <v>4800000</v>
      </c>
      <c r="K434" t="s">
        <v>28</v>
      </c>
    </row>
    <row r="435" spans="1:11" x14ac:dyDescent="0.3">
      <c r="A435">
        <v>45360</v>
      </c>
      <c r="B435" t="s">
        <v>10</v>
      </c>
      <c r="C435" t="s">
        <v>17</v>
      </c>
      <c r="D435">
        <v>2</v>
      </c>
      <c r="E435">
        <v>9000000</v>
      </c>
      <c r="F435">
        <v>5</v>
      </c>
      <c r="G435">
        <v>1539000</v>
      </c>
      <c r="H435">
        <v>17100000</v>
      </c>
      <c r="I435">
        <v>14400000</v>
      </c>
      <c r="J435">
        <v>2700000</v>
      </c>
      <c r="K435" t="s">
        <v>28</v>
      </c>
    </row>
    <row r="436" spans="1:11" x14ac:dyDescent="0.3">
      <c r="A436">
        <v>45361</v>
      </c>
      <c r="B436" t="s">
        <v>19</v>
      </c>
      <c r="C436" t="s">
        <v>14</v>
      </c>
      <c r="D436">
        <v>4</v>
      </c>
      <c r="E436">
        <v>15000000</v>
      </c>
      <c r="F436">
        <v>6</v>
      </c>
      <c r="G436">
        <v>2538000</v>
      </c>
      <c r="H436">
        <v>56400000</v>
      </c>
      <c r="I436">
        <v>48000000</v>
      </c>
      <c r="J436">
        <v>8400000</v>
      </c>
      <c r="K436" t="s">
        <v>28</v>
      </c>
    </row>
    <row r="437" spans="1:11" x14ac:dyDescent="0.3">
      <c r="A437">
        <v>45362</v>
      </c>
      <c r="B437" t="s">
        <v>16</v>
      </c>
      <c r="C437" t="s">
        <v>11</v>
      </c>
      <c r="D437">
        <v>4</v>
      </c>
      <c r="E437">
        <v>16000000</v>
      </c>
      <c r="F437">
        <v>5</v>
      </c>
      <c r="G437">
        <v>2736000</v>
      </c>
      <c r="H437">
        <v>60800000</v>
      </c>
      <c r="I437">
        <v>51200000</v>
      </c>
      <c r="J437">
        <v>9600000</v>
      </c>
      <c r="K437" t="s">
        <v>28</v>
      </c>
    </row>
    <row r="438" spans="1:11" x14ac:dyDescent="0.3">
      <c r="A438">
        <v>45363</v>
      </c>
      <c r="B438" t="s">
        <v>19</v>
      </c>
      <c r="C438" t="s">
        <v>17</v>
      </c>
      <c r="D438">
        <v>1</v>
      </c>
      <c r="E438">
        <v>15000000</v>
      </c>
      <c r="F438">
        <v>4</v>
      </c>
      <c r="G438">
        <v>2592000</v>
      </c>
      <c r="H438">
        <v>14400000</v>
      </c>
      <c r="I438">
        <v>12000000</v>
      </c>
      <c r="J438">
        <v>2400000</v>
      </c>
      <c r="K438" t="s">
        <v>28</v>
      </c>
    </row>
    <row r="439" spans="1:11" x14ac:dyDescent="0.3">
      <c r="A439">
        <v>45364</v>
      </c>
      <c r="B439" t="s">
        <v>12</v>
      </c>
      <c r="C439" t="s">
        <v>17</v>
      </c>
      <c r="D439">
        <v>2</v>
      </c>
      <c r="E439">
        <v>17000000</v>
      </c>
      <c r="F439">
        <v>4</v>
      </c>
      <c r="G439">
        <v>2937600</v>
      </c>
      <c r="H439">
        <v>32640000</v>
      </c>
      <c r="I439">
        <v>27200000</v>
      </c>
      <c r="J439">
        <v>5440000</v>
      </c>
      <c r="K439" t="s">
        <v>28</v>
      </c>
    </row>
    <row r="440" spans="1:11" x14ac:dyDescent="0.3">
      <c r="A440">
        <v>45365</v>
      </c>
      <c r="B440" t="s">
        <v>15</v>
      </c>
      <c r="C440" t="s">
        <v>11</v>
      </c>
      <c r="D440">
        <v>3</v>
      </c>
      <c r="E440">
        <v>18000000</v>
      </c>
      <c r="F440">
        <v>2</v>
      </c>
      <c r="G440">
        <v>3175200</v>
      </c>
      <c r="H440">
        <v>52920000</v>
      </c>
      <c r="I440">
        <v>43200000</v>
      </c>
      <c r="J440">
        <v>9720000</v>
      </c>
      <c r="K440" t="s">
        <v>28</v>
      </c>
    </row>
    <row r="441" spans="1:11" x14ac:dyDescent="0.3">
      <c r="A441">
        <v>45366</v>
      </c>
      <c r="B441" t="s">
        <v>19</v>
      </c>
      <c r="C441" t="s">
        <v>14</v>
      </c>
      <c r="D441">
        <v>3</v>
      </c>
      <c r="E441">
        <v>15000000</v>
      </c>
      <c r="F441">
        <v>3</v>
      </c>
      <c r="G441">
        <v>2619000</v>
      </c>
      <c r="H441">
        <v>43650000</v>
      </c>
      <c r="I441">
        <v>36000000</v>
      </c>
      <c r="J441">
        <v>7650000</v>
      </c>
      <c r="K441" t="s">
        <v>28</v>
      </c>
    </row>
    <row r="442" spans="1:11" x14ac:dyDescent="0.3">
      <c r="A442">
        <v>45367</v>
      </c>
      <c r="B442" t="s">
        <v>15</v>
      </c>
      <c r="C442" t="s">
        <v>17</v>
      </c>
      <c r="D442">
        <v>3</v>
      </c>
      <c r="E442">
        <v>18000000</v>
      </c>
      <c r="F442">
        <v>4</v>
      </c>
      <c r="G442">
        <v>3110400</v>
      </c>
      <c r="H442">
        <v>51840000</v>
      </c>
      <c r="I442">
        <v>43200000</v>
      </c>
      <c r="J442">
        <v>8640000</v>
      </c>
      <c r="K442" t="s">
        <v>28</v>
      </c>
    </row>
    <row r="443" spans="1:11" x14ac:dyDescent="0.3">
      <c r="A443">
        <v>45368</v>
      </c>
      <c r="B443" t="s">
        <v>16</v>
      </c>
      <c r="C443" t="s">
        <v>14</v>
      </c>
      <c r="D443">
        <v>4</v>
      </c>
      <c r="E443">
        <v>16000000</v>
      </c>
      <c r="F443">
        <v>5</v>
      </c>
      <c r="G443">
        <v>2736000</v>
      </c>
      <c r="H443">
        <v>60800000</v>
      </c>
      <c r="I443">
        <v>51200000</v>
      </c>
      <c r="J443">
        <v>9600000</v>
      </c>
      <c r="K443" t="s">
        <v>28</v>
      </c>
    </row>
    <row r="444" spans="1:11" x14ac:dyDescent="0.3">
      <c r="A444">
        <v>45369</v>
      </c>
      <c r="B444" t="s">
        <v>16</v>
      </c>
      <c r="C444" t="s">
        <v>17</v>
      </c>
      <c r="D444">
        <v>4</v>
      </c>
      <c r="E444">
        <v>16000000</v>
      </c>
      <c r="F444">
        <v>2</v>
      </c>
      <c r="G444">
        <v>2822400</v>
      </c>
      <c r="H444">
        <v>62720000</v>
      </c>
      <c r="I444">
        <v>51200000</v>
      </c>
      <c r="J444">
        <v>11520000</v>
      </c>
      <c r="K444" t="s">
        <v>28</v>
      </c>
    </row>
    <row r="445" spans="1:11" x14ac:dyDescent="0.3">
      <c r="A445">
        <v>45370</v>
      </c>
      <c r="B445" t="s">
        <v>19</v>
      </c>
      <c r="C445" t="s">
        <v>17</v>
      </c>
      <c r="D445">
        <v>2</v>
      </c>
      <c r="E445">
        <v>15000000</v>
      </c>
      <c r="F445">
        <v>5</v>
      </c>
      <c r="G445">
        <v>2565000</v>
      </c>
      <c r="H445">
        <v>28500000</v>
      </c>
      <c r="I445">
        <v>24000000</v>
      </c>
      <c r="J445">
        <v>4500000</v>
      </c>
      <c r="K445" t="s">
        <v>28</v>
      </c>
    </row>
    <row r="446" spans="1:11" x14ac:dyDescent="0.3">
      <c r="A446">
        <v>45371</v>
      </c>
      <c r="B446" t="s">
        <v>19</v>
      </c>
      <c r="C446" t="s">
        <v>13</v>
      </c>
      <c r="D446">
        <v>2</v>
      </c>
      <c r="E446">
        <v>15000000</v>
      </c>
      <c r="F446">
        <v>2</v>
      </c>
      <c r="G446">
        <v>2646000</v>
      </c>
      <c r="H446">
        <v>29400000</v>
      </c>
      <c r="I446">
        <v>24000000</v>
      </c>
      <c r="J446">
        <v>5400000</v>
      </c>
      <c r="K446" t="s">
        <v>28</v>
      </c>
    </row>
    <row r="447" spans="1:11" x14ac:dyDescent="0.3">
      <c r="A447">
        <v>45372</v>
      </c>
      <c r="B447" t="s">
        <v>15</v>
      </c>
      <c r="C447" t="s">
        <v>14</v>
      </c>
      <c r="D447">
        <v>4</v>
      </c>
      <c r="E447">
        <v>18000000</v>
      </c>
      <c r="F447">
        <v>2</v>
      </c>
      <c r="G447">
        <v>3175200</v>
      </c>
      <c r="H447">
        <v>70560000</v>
      </c>
      <c r="I447">
        <v>57600000</v>
      </c>
      <c r="J447">
        <v>12960000</v>
      </c>
      <c r="K447" t="s">
        <v>28</v>
      </c>
    </row>
    <row r="448" spans="1:11" x14ac:dyDescent="0.3">
      <c r="A448">
        <v>45373</v>
      </c>
      <c r="B448" t="s">
        <v>12</v>
      </c>
      <c r="C448" t="s">
        <v>17</v>
      </c>
      <c r="D448">
        <v>1</v>
      </c>
      <c r="E448">
        <v>17000000</v>
      </c>
      <c r="F448">
        <v>3</v>
      </c>
      <c r="G448">
        <v>2968200</v>
      </c>
      <c r="H448">
        <v>16490000</v>
      </c>
      <c r="I448">
        <v>13600000</v>
      </c>
      <c r="J448">
        <v>2890000</v>
      </c>
      <c r="K448" t="s">
        <v>28</v>
      </c>
    </row>
    <row r="449" spans="1:11" x14ac:dyDescent="0.3">
      <c r="A449">
        <v>45374</v>
      </c>
      <c r="B449" t="s">
        <v>10</v>
      </c>
      <c r="C449" t="s">
        <v>18</v>
      </c>
      <c r="D449">
        <v>4</v>
      </c>
      <c r="E449">
        <v>9000000</v>
      </c>
      <c r="F449">
        <v>2</v>
      </c>
      <c r="G449">
        <v>1587600</v>
      </c>
      <c r="H449">
        <v>35280000</v>
      </c>
      <c r="I449">
        <v>28800000</v>
      </c>
      <c r="J449">
        <v>6480000</v>
      </c>
      <c r="K449" t="s">
        <v>28</v>
      </c>
    </row>
    <row r="450" spans="1:11" x14ac:dyDescent="0.3">
      <c r="A450">
        <v>45375</v>
      </c>
      <c r="B450" t="s">
        <v>15</v>
      </c>
      <c r="C450" t="s">
        <v>14</v>
      </c>
      <c r="D450">
        <v>4</v>
      </c>
      <c r="E450">
        <v>18000000</v>
      </c>
      <c r="F450">
        <v>2</v>
      </c>
      <c r="G450">
        <v>3175200</v>
      </c>
      <c r="H450">
        <v>70560000</v>
      </c>
      <c r="I450">
        <v>57600000</v>
      </c>
      <c r="J450">
        <v>12960000</v>
      </c>
      <c r="K450" t="s">
        <v>28</v>
      </c>
    </row>
    <row r="451" spans="1:11" x14ac:dyDescent="0.3">
      <c r="A451">
        <v>45376</v>
      </c>
      <c r="B451" t="s">
        <v>10</v>
      </c>
      <c r="C451" t="s">
        <v>17</v>
      </c>
      <c r="D451">
        <v>3</v>
      </c>
      <c r="E451">
        <v>9000000</v>
      </c>
      <c r="F451">
        <v>3</v>
      </c>
      <c r="G451">
        <v>1571400</v>
      </c>
      <c r="H451">
        <v>26190000</v>
      </c>
      <c r="I451">
        <v>21600000</v>
      </c>
      <c r="J451">
        <v>4590000</v>
      </c>
      <c r="K451" t="s">
        <v>28</v>
      </c>
    </row>
    <row r="452" spans="1:11" x14ac:dyDescent="0.3">
      <c r="A452">
        <v>45377</v>
      </c>
      <c r="B452" t="s">
        <v>16</v>
      </c>
      <c r="C452" t="s">
        <v>14</v>
      </c>
      <c r="D452">
        <v>4</v>
      </c>
      <c r="E452">
        <v>16000000</v>
      </c>
      <c r="F452">
        <v>4</v>
      </c>
      <c r="G452">
        <v>2764800</v>
      </c>
      <c r="H452">
        <v>61440000</v>
      </c>
      <c r="I452">
        <v>51200000</v>
      </c>
      <c r="J452">
        <v>10240000</v>
      </c>
      <c r="K452" t="s">
        <v>28</v>
      </c>
    </row>
    <row r="453" spans="1:11" x14ac:dyDescent="0.3">
      <c r="A453">
        <v>45378</v>
      </c>
      <c r="B453" t="s">
        <v>15</v>
      </c>
      <c r="C453" t="s">
        <v>13</v>
      </c>
      <c r="D453">
        <v>2</v>
      </c>
      <c r="E453">
        <v>18000000</v>
      </c>
      <c r="F453">
        <v>3</v>
      </c>
      <c r="G453">
        <v>3142800</v>
      </c>
      <c r="H453">
        <v>34920000</v>
      </c>
      <c r="I453">
        <v>28800000</v>
      </c>
      <c r="J453">
        <v>6120000</v>
      </c>
      <c r="K453" t="s">
        <v>28</v>
      </c>
    </row>
    <row r="454" spans="1:11" x14ac:dyDescent="0.3">
      <c r="A454">
        <v>45379</v>
      </c>
      <c r="B454" t="s">
        <v>12</v>
      </c>
      <c r="C454" t="s">
        <v>14</v>
      </c>
      <c r="D454">
        <v>1</v>
      </c>
      <c r="E454">
        <v>17000000</v>
      </c>
      <c r="F454">
        <v>2</v>
      </c>
      <c r="G454">
        <v>2998800</v>
      </c>
      <c r="H454">
        <v>16660000</v>
      </c>
      <c r="I454">
        <v>13600000</v>
      </c>
      <c r="J454">
        <v>3060000</v>
      </c>
      <c r="K454" t="s">
        <v>28</v>
      </c>
    </row>
    <row r="455" spans="1:11" x14ac:dyDescent="0.3">
      <c r="A455">
        <v>45380</v>
      </c>
      <c r="B455" t="s">
        <v>19</v>
      </c>
      <c r="C455" t="s">
        <v>17</v>
      </c>
      <c r="D455">
        <v>4</v>
      </c>
      <c r="E455">
        <v>15000000</v>
      </c>
      <c r="F455">
        <v>2</v>
      </c>
      <c r="G455">
        <v>2646000</v>
      </c>
      <c r="H455">
        <v>58800000</v>
      </c>
      <c r="I455">
        <v>48000000</v>
      </c>
      <c r="J455">
        <v>10800000</v>
      </c>
      <c r="K455" t="s">
        <v>28</v>
      </c>
    </row>
    <row r="456" spans="1:11" x14ac:dyDescent="0.3">
      <c r="A456">
        <v>45381</v>
      </c>
      <c r="B456" t="s">
        <v>16</v>
      </c>
      <c r="C456" t="s">
        <v>13</v>
      </c>
      <c r="D456">
        <v>3</v>
      </c>
      <c r="E456">
        <v>16000000</v>
      </c>
      <c r="F456">
        <v>3</v>
      </c>
      <c r="G456">
        <v>2793600</v>
      </c>
      <c r="H456">
        <v>46560000</v>
      </c>
      <c r="I456">
        <v>38400000</v>
      </c>
      <c r="J456">
        <v>8160000</v>
      </c>
      <c r="K456" t="s">
        <v>28</v>
      </c>
    </row>
    <row r="457" spans="1:11" x14ac:dyDescent="0.3">
      <c r="A457">
        <v>45382</v>
      </c>
      <c r="B457" t="s">
        <v>12</v>
      </c>
      <c r="C457" t="s">
        <v>14</v>
      </c>
      <c r="D457">
        <v>4</v>
      </c>
      <c r="E457">
        <v>17000000</v>
      </c>
      <c r="F457">
        <v>5</v>
      </c>
      <c r="G457">
        <v>2907000</v>
      </c>
      <c r="H457">
        <v>64600000</v>
      </c>
      <c r="I457">
        <v>54400000</v>
      </c>
      <c r="J457">
        <v>10200000</v>
      </c>
      <c r="K457" t="s">
        <v>28</v>
      </c>
    </row>
    <row r="458" spans="1:11" x14ac:dyDescent="0.3">
      <c r="A458">
        <v>45383</v>
      </c>
      <c r="B458" t="s">
        <v>16</v>
      </c>
      <c r="C458" t="s">
        <v>13</v>
      </c>
      <c r="D458">
        <v>2</v>
      </c>
      <c r="E458">
        <v>16000000</v>
      </c>
      <c r="F458">
        <v>2</v>
      </c>
      <c r="G458">
        <v>2822400</v>
      </c>
      <c r="H458">
        <v>31360000</v>
      </c>
      <c r="I458">
        <v>25600000</v>
      </c>
      <c r="J458">
        <v>5760000</v>
      </c>
      <c r="K458" t="s">
        <v>29</v>
      </c>
    </row>
    <row r="459" spans="1:11" x14ac:dyDescent="0.3">
      <c r="A459">
        <v>45384</v>
      </c>
      <c r="B459" t="s">
        <v>15</v>
      </c>
      <c r="C459" t="s">
        <v>14</v>
      </c>
      <c r="D459">
        <v>1</v>
      </c>
      <c r="E459">
        <v>18000000</v>
      </c>
      <c r="F459">
        <v>6</v>
      </c>
      <c r="G459">
        <v>3045600</v>
      </c>
      <c r="H459">
        <v>16920000</v>
      </c>
      <c r="I459">
        <v>14400000</v>
      </c>
      <c r="J459">
        <v>2520000</v>
      </c>
      <c r="K459" t="s">
        <v>29</v>
      </c>
    </row>
    <row r="460" spans="1:11" x14ac:dyDescent="0.3">
      <c r="A460">
        <v>45385</v>
      </c>
      <c r="B460" t="s">
        <v>15</v>
      </c>
      <c r="C460" t="s">
        <v>18</v>
      </c>
      <c r="D460">
        <v>1</v>
      </c>
      <c r="E460">
        <v>18000000</v>
      </c>
      <c r="F460">
        <v>4</v>
      </c>
      <c r="G460">
        <v>3110400</v>
      </c>
      <c r="H460">
        <v>17280000</v>
      </c>
      <c r="I460">
        <v>14400000</v>
      </c>
      <c r="J460">
        <v>2880000</v>
      </c>
      <c r="K460" t="s">
        <v>29</v>
      </c>
    </row>
    <row r="461" spans="1:11" x14ac:dyDescent="0.3">
      <c r="A461">
        <v>45386</v>
      </c>
      <c r="B461" t="s">
        <v>19</v>
      </c>
      <c r="C461" t="s">
        <v>11</v>
      </c>
      <c r="D461">
        <v>2</v>
      </c>
      <c r="E461">
        <v>15000000</v>
      </c>
      <c r="F461">
        <v>2</v>
      </c>
      <c r="G461">
        <v>2646000</v>
      </c>
      <c r="H461">
        <v>29400000</v>
      </c>
      <c r="I461">
        <v>24000000</v>
      </c>
      <c r="J461">
        <v>5400000</v>
      </c>
      <c r="K461" t="s">
        <v>29</v>
      </c>
    </row>
    <row r="462" spans="1:11" x14ac:dyDescent="0.3">
      <c r="A462">
        <v>45387</v>
      </c>
      <c r="B462" t="s">
        <v>12</v>
      </c>
      <c r="C462" t="s">
        <v>14</v>
      </c>
      <c r="D462">
        <v>1</v>
      </c>
      <c r="E462">
        <v>17000000</v>
      </c>
      <c r="F462">
        <v>2</v>
      </c>
      <c r="G462">
        <v>2998800</v>
      </c>
      <c r="H462">
        <v>16660000</v>
      </c>
      <c r="I462">
        <v>13600000</v>
      </c>
      <c r="J462">
        <v>3060000</v>
      </c>
      <c r="K462" t="s">
        <v>29</v>
      </c>
    </row>
    <row r="463" spans="1:11" x14ac:dyDescent="0.3">
      <c r="A463">
        <v>45388</v>
      </c>
      <c r="B463" t="s">
        <v>19</v>
      </c>
      <c r="C463" t="s">
        <v>11</v>
      </c>
      <c r="D463">
        <v>1</v>
      </c>
      <c r="E463">
        <v>15000000</v>
      </c>
      <c r="F463">
        <v>3</v>
      </c>
      <c r="G463">
        <v>2619000</v>
      </c>
      <c r="H463">
        <v>14550000</v>
      </c>
      <c r="I463">
        <v>12000000</v>
      </c>
      <c r="J463">
        <v>2550000</v>
      </c>
      <c r="K463" t="s">
        <v>29</v>
      </c>
    </row>
    <row r="464" spans="1:11" x14ac:dyDescent="0.3">
      <c r="A464">
        <v>45389</v>
      </c>
      <c r="B464" t="s">
        <v>10</v>
      </c>
      <c r="C464" t="s">
        <v>17</v>
      </c>
      <c r="D464">
        <v>4</v>
      </c>
      <c r="E464">
        <v>9000000</v>
      </c>
      <c r="F464">
        <v>6</v>
      </c>
      <c r="G464">
        <v>1522800</v>
      </c>
      <c r="H464">
        <v>33840000</v>
      </c>
      <c r="I464">
        <v>28800000</v>
      </c>
      <c r="J464">
        <v>5040000</v>
      </c>
      <c r="K464" t="s">
        <v>29</v>
      </c>
    </row>
    <row r="465" spans="1:11" x14ac:dyDescent="0.3">
      <c r="A465">
        <v>45390</v>
      </c>
      <c r="B465" t="s">
        <v>10</v>
      </c>
      <c r="C465" t="s">
        <v>17</v>
      </c>
      <c r="D465">
        <v>3</v>
      </c>
      <c r="E465">
        <v>9000000</v>
      </c>
      <c r="F465">
        <v>3</v>
      </c>
      <c r="G465">
        <v>1571400</v>
      </c>
      <c r="H465">
        <v>26190000</v>
      </c>
      <c r="I465">
        <v>21600000</v>
      </c>
      <c r="J465">
        <v>4590000</v>
      </c>
      <c r="K465" t="s">
        <v>29</v>
      </c>
    </row>
    <row r="466" spans="1:11" x14ac:dyDescent="0.3">
      <c r="A466">
        <v>45391</v>
      </c>
      <c r="B466" t="s">
        <v>19</v>
      </c>
      <c r="C466" t="s">
        <v>18</v>
      </c>
      <c r="D466">
        <v>2</v>
      </c>
      <c r="E466">
        <v>15000000</v>
      </c>
      <c r="F466">
        <v>6</v>
      </c>
      <c r="G466">
        <v>2538000</v>
      </c>
      <c r="H466">
        <v>28200000</v>
      </c>
      <c r="I466">
        <v>24000000</v>
      </c>
      <c r="J466">
        <v>4200000</v>
      </c>
      <c r="K466" t="s">
        <v>29</v>
      </c>
    </row>
    <row r="467" spans="1:11" x14ac:dyDescent="0.3">
      <c r="A467">
        <v>45392</v>
      </c>
      <c r="B467" t="s">
        <v>16</v>
      </c>
      <c r="C467" t="s">
        <v>17</v>
      </c>
      <c r="D467">
        <v>4</v>
      </c>
      <c r="E467">
        <v>16000000</v>
      </c>
      <c r="F467">
        <v>3</v>
      </c>
      <c r="G467">
        <v>2793600</v>
      </c>
      <c r="H467">
        <v>62080000</v>
      </c>
      <c r="I467">
        <v>51200000</v>
      </c>
      <c r="J467">
        <v>10880000</v>
      </c>
      <c r="K467" t="s">
        <v>29</v>
      </c>
    </row>
    <row r="468" spans="1:11" x14ac:dyDescent="0.3">
      <c r="A468">
        <v>45393</v>
      </c>
      <c r="B468" t="s">
        <v>15</v>
      </c>
      <c r="C468" t="s">
        <v>18</v>
      </c>
      <c r="D468">
        <v>4</v>
      </c>
      <c r="E468">
        <v>18000000</v>
      </c>
      <c r="F468">
        <v>5</v>
      </c>
      <c r="G468">
        <v>3078000</v>
      </c>
      <c r="H468">
        <v>68400000</v>
      </c>
      <c r="I468">
        <v>57600000</v>
      </c>
      <c r="J468">
        <v>10800000</v>
      </c>
      <c r="K468" t="s">
        <v>29</v>
      </c>
    </row>
    <row r="469" spans="1:11" x14ac:dyDescent="0.3">
      <c r="A469">
        <v>45394</v>
      </c>
      <c r="B469" t="s">
        <v>10</v>
      </c>
      <c r="C469" t="s">
        <v>17</v>
      </c>
      <c r="D469">
        <v>3</v>
      </c>
      <c r="E469">
        <v>9000000</v>
      </c>
      <c r="F469">
        <v>2</v>
      </c>
      <c r="G469">
        <v>1587600</v>
      </c>
      <c r="H469">
        <v>26460000</v>
      </c>
      <c r="I469">
        <v>21600000</v>
      </c>
      <c r="J469">
        <v>4860000</v>
      </c>
      <c r="K469" t="s">
        <v>29</v>
      </c>
    </row>
    <row r="470" spans="1:11" x14ac:dyDescent="0.3">
      <c r="A470">
        <v>45395</v>
      </c>
      <c r="B470" t="s">
        <v>19</v>
      </c>
      <c r="C470" t="s">
        <v>18</v>
      </c>
      <c r="D470">
        <v>1</v>
      </c>
      <c r="E470">
        <v>15000000</v>
      </c>
      <c r="F470">
        <v>4</v>
      </c>
      <c r="G470">
        <v>2592000</v>
      </c>
      <c r="H470">
        <v>14400000</v>
      </c>
      <c r="I470">
        <v>12000000</v>
      </c>
      <c r="J470">
        <v>2400000</v>
      </c>
      <c r="K470" t="s">
        <v>29</v>
      </c>
    </row>
    <row r="471" spans="1:11" x14ac:dyDescent="0.3">
      <c r="A471">
        <v>45396</v>
      </c>
      <c r="B471" t="s">
        <v>19</v>
      </c>
      <c r="C471" t="s">
        <v>18</v>
      </c>
      <c r="D471">
        <v>4</v>
      </c>
      <c r="E471">
        <v>15000000</v>
      </c>
      <c r="F471">
        <v>6</v>
      </c>
      <c r="G471">
        <v>2538000</v>
      </c>
      <c r="H471">
        <v>56400000</v>
      </c>
      <c r="I471">
        <v>48000000</v>
      </c>
      <c r="J471">
        <v>8400000</v>
      </c>
      <c r="K471" t="s">
        <v>29</v>
      </c>
    </row>
    <row r="472" spans="1:11" x14ac:dyDescent="0.3">
      <c r="A472">
        <v>45397</v>
      </c>
      <c r="B472" t="s">
        <v>15</v>
      </c>
      <c r="C472" t="s">
        <v>17</v>
      </c>
      <c r="D472">
        <v>3</v>
      </c>
      <c r="E472">
        <v>18000000</v>
      </c>
      <c r="F472">
        <v>4</v>
      </c>
      <c r="G472">
        <v>3110400</v>
      </c>
      <c r="H472">
        <v>51840000</v>
      </c>
      <c r="I472">
        <v>43200000</v>
      </c>
      <c r="J472">
        <v>8640000</v>
      </c>
      <c r="K472" t="s">
        <v>29</v>
      </c>
    </row>
    <row r="473" spans="1:11" x14ac:dyDescent="0.3">
      <c r="A473">
        <v>45398</v>
      </c>
      <c r="B473" t="s">
        <v>19</v>
      </c>
      <c r="C473" t="s">
        <v>14</v>
      </c>
      <c r="D473">
        <v>3</v>
      </c>
      <c r="E473">
        <v>15000000</v>
      </c>
      <c r="F473">
        <v>5</v>
      </c>
      <c r="G473">
        <v>2565000</v>
      </c>
      <c r="H473">
        <v>42750000</v>
      </c>
      <c r="I473">
        <v>36000000</v>
      </c>
      <c r="J473">
        <v>6750000</v>
      </c>
      <c r="K473" t="s">
        <v>29</v>
      </c>
    </row>
    <row r="474" spans="1:11" x14ac:dyDescent="0.3">
      <c r="A474">
        <v>45399</v>
      </c>
      <c r="B474" t="s">
        <v>19</v>
      </c>
      <c r="C474" t="s">
        <v>11</v>
      </c>
      <c r="D474">
        <v>4</v>
      </c>
      <c r="E474">
        <v>15000000</v>
      </c>
      <c r="F474">
        <v>2</v>
      </c>
      <c r="G474">
        <v>2646000</v>
      </c>
      <c r="H474">
        <v>58800000</v>
      </c>
      <c r="I474">
        <v>48000000</v>
      </c>
      <c r="J474">
        <v>10800000</v>
      </c>
      <c r="K474" t="s">
        <v>29</v>
      </c>
    </row>
    <row r="475" spans="1:11" x14ac:dyDescent="0.3">
      <c r="A475">
        <v>45400</v>
      </c>
      <c r="B475" t="s">
        <v>12</v>
      </c>
      <c r="C475" t="s">
        <v>13</v>
      </c>
      <c r="D475">
        <v>4</v>
      </c>
      <c r="E475">
        <v>17000000</v>
      </c>
      <c r="F475">
        <v>6</v>
      </c>
      <c r="G475">
        <v>2876400</v>
      </c>
      <c r="H475">
        <v>63920000</v>
      </c>
      <c r="I475">
        <v>54400000</v>
      </c>
      <c r="J475">
        <v>9520000</v>
      </c>
      <c r="K475" t="s">
        <v>29</v>
      </c>
    </row>
    <row r="476" spans="1:11" x14ac:dyDescent="0.3">
      <c r="A476">
        <v>45401</v>
      </c>
      <c r="B476" t="s">
        <v>16</v>
      </c>
      <c r="C476" t="s">
        <v>18</v>
      </c>
      <c r="D476">
        <v>1</v>
      </c>
      <c r="E476">
        <v>16000000</v>
      </c>
      <c r="F476">
        <v>5</v>
      </c>
      <c r="G476">
        <v>2736000</v>
      </c>
      <c r="H476">
        <v>15200000</v>
      </c>
      <c r="I476">
        <v>12800000</v>
      </c>
      <c r="J476">
        <v>2400000</v>
      </c>
      <c r="K476" t="s">
        <v>29</v>
      </c>
    </row>
    <row r="477" spans="1:11" x14ac:dyDescent="0.3">
      <c r="A477">
        <v>45402</v>
      </c>
      <c r="B477" t="s">
        <v>10</v>
      </c>
      <c r="C477" t="s">
        <v>17</v>
      </c>
      <c r="D477">
        <v>1</v>
      </c>
      <c r="E477">
        <v>9000000</v>
      </c>
      <c r="F477">
        <v>6</v>
      </c>
      <c r="G477">
        <v>1522800</v>
      </c>
      <c r="H477">
        <v>8460000</v>
      </c>
      <c r="I477">
        <v>7200000</v>
      </c>
      <c r="J477">
        <v>1260000</v>
      </c>
      <c r="K477" t="s">
        <v>29</v>
      </c>
    </row>
    <row r="478" spans="1:11" x14ac:dyDescent="0.3">
      <c r="A478">
        <v>45403</v>
      </c>
      <c r="B478" t="s">
        <v>19</v>
      </c>
      <c r="C478" t="s">
        <v>13</v>
      </c>
      <c r="D478">
        <v>2</v>
      </c>
      <c r="E478">
        <v>15000000</v>
      </c>
      <c r="F478">
        <v>3</v>
      </c>
      <c r="G478">
        <v>2619000</v>
      </c>
      <c r="H478">
        <v>29100000</v>
      </c>
      <c r="I478">
        <v>24000000</v>
      </c>
      <c r="J478">
        <v>5100000</v>
      </c>
      <c r="K478" t="s">
        <v>29</v>
      </c>
    </row>
    <row r="479" spans="1:11" x14ac:dyDescent="0.3">
      <c r="A479">
        <v>45404</v>
      </c>
      <c r="B479" t="s">
        <v>16</v>
      </c>
      <c r="C479" t="s">
        <v>13</v>
      </c>
      <c r="D479">
        <v>4</v>
      </c>
      <c r="E479">
        <v>16000000</v>
      </c>
      <c r="F479">
        <v>4</v>
      </c>
      <c r="G479">
        <v>2764800</v>
      </c>
      <c r="H479">
        <v>61440000</v>
      </c>
      <c r="I479">
        <v>51200000</v>
      </c>
      <c r="J479">
        <v>10240000</v>
      </c>
      <c r="K479" t="s">
        <v>29</v>
      </c>
    </row>
    <row r="480" spans="1:11" x14ac:dyDescent="0.3">
      <c r="A480">
        <v>45405</v>
      </c>
      <c r="B480" t="s">
        <v>16</v>
      </c>
      <c r="C480" t="s">
        <v>13</v>
      </c>
      <c r="D480">
        <v>1</v>
      </c>
      <c r="E480">
        <v>16000000</v>
      </c>
      <c r="F480">
        <v>6</v>
      </c>
      <c r="G480">
        <v>2707200</v>
      </c>
      <c r="H480">
        <v>15040000</v>
      </c>
      <c r="I480">
        <v>12800000</v>
      </c>
      <c r="J480">
        <v>2240000</v>
      </c>
      <c r="K480" t="s">
        <v>29</v>
      </c>
    </row>
    <row r="481" spans="1:11" x14ac:dyDescent="0.3">
      <c r="A481">
        <v>45406</v>
      </c>
      <c r="B481" t="s">
        <v>15</v>
      </c>
      <c r="C481" t="s">
        <v>18</v>
      </c>
      <c r="D481">
        <v>1</v>
      </c>
      <c r="E481">
        <v>18000000</v>
      </c>
      <c r="F481">
        <v>2</v>
      </c>
      <c r="G481">
        <v>3175200</v>
      </c>
      <c r="H481">
        <v>17640000</v>
      </c>
      <c r="I481">
        <v>14400000</v>
      </c>
      <c r="J481">
        <v>3240000</v>
      </c>
      <c r="K481" t="s">
        <v>29</v>
      </c>
    </row>
    <row r="482" spans="1:11" x14ac:dyDescent="0.3">
      <c r="A482">
        <v>45407</v>
      </c>
      <c r="B482" t="s">
        <v>10</v>
      </c>
      <c r="C482" t="s">
        <v>14</v>
      </c>
      <c r="D482">
        <v>1</v>
      </c>
      <c r="E482">
        <v>9000000</v>
      </c>
      <c r="F482">
        <v>6</v>
      </c>
      <c r="G482">
        <v>1522800</v>
      </c>
      <c r="H482">
        <v>8460000</v>
      </c>
      <c r="I482">
        <v>7200000</v>
      </c>
      <c r="J482">
        <v>1260000</v>
      </c>
      <c r="K482" t="s">
        <v>29</v>
      </c>
    </row>
    <row r="483" spans="1:11" x14ac:dyDescent="0.3">
      <c r="A483">
        <v>45408</v>
      </c>
      <c r="B483" t="s">
        <v>16</v>
      </c>
      <c r="C483" t="s">
        <v>14</v>
      </c>
      <c r="D483">
        <v>1</v>
      </c>
      <c r="E483">
        <v>16000000</v>
      </c>
      <c r="F483">
        <v>3</v>
      </c>
      <c r="G483">
        <v>2793600</v>
      </c>
      <c r="H483">
        <v>15520000</v>
      </c>
      <c r="I483">
        <v>12800000</v>
      </c>
      <c r="J483">
        <v>2720000</v>
      </c>
      <c r="K483" t="s">
        <v>29</v>
      </c>
    </row>
    <row r="484" spans="1:11" x14ac:dyDescent="0.3">
      <c r="A484">
        <v>45409</v>
      </c>
      <c r="B484" t="s">
        <v>12</v>
      </c>
      <c r="C484" t="s">
        <v>14</v>
      </c>
      <c r="D484">
        <v>4</v>
      </c>
      <c r="E484">
        <v>17000000</v>
      </c>
      <c r="F484">
        <v>6</v>
      </c>
      <c r="G484">
        <v>2876400</v>
      </c>
      <c r="H484">
        <v>63920000</v>
      </c>
      <c r="I484">
        <v>54400000</v>
      </c>
      <c r="J484">
        <v>9520000</v>
      </c>
      <c r="K484" t="s">
        <v>29</v>
      </c>
    </row>
    <row r="485" spans="1:11" x14ac:dyDescent="0.3">
      <c r="A485">
        <v>45410</v>
      </c>
      <c r="B485" t="s">
        <v>16</v>
      </c>
      <c r="C485" t="s">
        <v>11</v>
      </c>
      <c r="D485">
        <v>4</v>
      </c>
      <c r="E485">
        <v>16000000</v>
      </c>
      <c r="F485">
        <v>5</v>
      </c>
      <c r="G485">
        <v>2736000</v>
      </c>
      <c r="H485">
        <v>60800000</v>
      </c>
      <c r="I485">
        <v>51200000</v>
      </c>
      <c r="J485">
        <v>9600000</v>
      </c>
      <c r="K485" t="s">
        <v>29</v>
      </c>
    </row>
    <row r="486" spans="1:11" x14ac:dyDescent="0.3">
      <c r="A486">
        <v>45411</v>
      </c>
      <c r="B486" t="s">
        <v>16</v>
      </c>
      <c r="C486" t="s">
        <v>11</v>
      </c>
      <c r="D486">
        <v>4</v>
      </c>
      <c r="E486">
        <v>16000000</v>
      </c>
      <c r="F486">
        <v>4</v>
      </c>
      <c r="G486">
        <v>2764800</v>
      </c>
      <c r="H486">
        <v>61440000</v>
      </c>
      <c r="I486">
        <v>51200000</v>
      </c>
      <c r="J486">
        <v>10240000</v>
      </c>
      <c r="K486" t="s">
        <v>29</v>
      </c>
    </row>
    <row r="487" spans="1:11" x14ac:dyDescent="0.3">
      <c r="A487">
        <v>45412</v>
      </c>
      <c r="B487" t="s">
        <v>16</v>
      </c>
      <c r="C487" t="s">
        <v>18</v>
      </c>
      <c r="D487">
        <v>4</v>
      </c>
      <c r="E487">
        <v>16000000</v>
      </c>
      <c r="F487">
        <v>2</v>
      </c>
      <c r="G487">
        <v>2822400</v>
      </c>
      <c r="H487">
        <v>62720000</v>
      </c>
      <c r="I487">
        <v>51200000</v>
      </c>
      <c r="J487">
        <v>11520000</v>
      </c>
      <c r="K487" t="s">
        <v>29</v>
      </c>
    </row>
    <row r="488" spans="1:11" x14ac:dyDescent="0.3">
      <c r="A488">
        <v>45413</v>
      </c>
      <c r="B488" t="s">
        <v>12</v>
      </c>
      <c r="C488" t="s">
        <v>13</v>
      </c>
      <c r="D488">
        <v>4</v>
      </c>
      <c r="E488">
        <v>17000000</v>
      </c>
      <c r="F488">
        <v>5</v>
      </c>
      <c r="G488">
        <v>2907000</v>
      </c>
      <c r="H488">
        <v>64600000</v>
      </c>
      <c r="I488">
        <v>54400000</v>
      </c>
      <c r="J488">
        <v>10200000</v>
      </c>
      <c r="K488" t="s">
        <v>30</v>
      </c>
    </row>
    <row r="489" spans="1:11" x14ac:dyDescent="0.3">
      <c r="A489">
        <v>45414</v>
      </c>
      <c r="B489" t="s">
        <v>12</v>
      </c>
      <c r="C489" t="s">
        <v>13</v>
      </c>
      <c r="D489">
        <v>3</v>
      </c>
      <c r="E489">
        <v>17000000</v>
      </c>
      <c r="F489">
        <v>4</v>
      </c>
      <c r="G489">
        <v>2937600</v>
      </c>
      <c r="H489">
        <v>48960000</v>
      </c>
      <c r="I489">
        <v>40800000</v>
      </c>
      <c r="J489">
        <v>8160000</v>
      </c>
      <c r="K489" t="s">
        <v>30</v>
      </c>
    </row>
    <row r="490" spans="1:11" x14ac:dyDescent="0.3">
      <c r="A490">
        <v>45415</v>
      </c>
      <c r="B490" t="s">
        <v>15</v>
      </c>
      <c r="C490" t="s">
        <v>17</v>
      </c>
      <c r="D490">
        <v>4</v>
      </c>
      <c r="E490">
        <v>18000000</v>
      </c>
      <c r="F490">
        <v>4</v>
      </c>
      <c r="G490">
        <v>3110400</v>
      </c>
      <c r="H490">
        <v>69120000</v>
      </c>
      <c r="I490">
        <v>57600000</v>
      </c>
      <c r="J490">
        <v>11520000</v>
      </c>
      <c r="K490" t="s">
        <v>30</v>
      </c>
    </row>
    <row r="491" spans="1:11" x14ac:dyDescent="0.3">
      <c r="A491">
        <v>45416</v>
      </c>
      <c r="B491" t="s">
        <v>16</v>
      </c>
      <c r="C491" t="s">
        <v>14</v>
      </c>
      <c r="D491">
        <v>3</v>
      </c>
      <c r="E491">
        <v>16000000</v>
      </c>
      <c r="F491">
        <v>2</v>
      </c>
      <c r="G491">
        <v>2822400</v>
      </c>
      <c r="H491">
        <v>47040000</v>
      </c>
      <c r="I491">
        <v>38400000</v>
      </c>
      <c r="J491">
        <v>8640000</v>
      </c>
      <c r="K491" t="s">
        <v>30</v>
      </c>
    </row>
    <row r="492" spans="1:11" x14ac:dyDescent="0.3">
      <c r="A492">
        <v>45417</v>
      </c>
      <c r="B492" t="s">
        <v>10</v>
      </c>
      <c r="C492" t="s">
        <v>18</v>
      </c>
      <c r="D492">
        <v>2</v>
      </c>
      <c r="E492">
        <v>9000000</v>
      </c>
      <c r="F492">
        <v>2</v>
      </c>
      <c r="G492">
        <v>1587600</v>
      </c>
      <c r="H492">
        <v>17640000</v>
      </c>
      <c r="I492">
        <v>14400000</v>
      </c>
      <c r="J492">
        <v>3240000</v>
      </c>
      <c r="K492" t="s">
        <v>30</v>
      </c>
    </row>
    <row r="493" spans="1:11" x14ac:dyDescent="0.3">
      <c r="A493">
        <v>45418</v>
      </c>
      <c r="B493" t="s">
        <v>10</v>
      </c>
      <c r="C493" t="s">
        <v>13</v>
      </c>
      <c r="D493">
        <v>3</v>
      </c>
      <c r="E493">
        <v>9000000</v>
      </c>
      <c r="F493">
        <v>6</v>
      </c>
      <c r="G493">
        <v>1522800</v>
      </c>
      <c r="H493">
        <v>25380000</v>
      </c>
      <c r="I493">
        <v>21600000</v>
      </c>
      <c r="J493">
        <v>3780000</v>
      </c>
      <c r="K493" t="s">
        <v>30</v>
      </c>
    </row>
    <row r="494" spans="1:11" x14ac:dyDescent="0.3">
      <c r="A494">
        <v>45419</v>
      </c>
      <c r="B494" t="s">
        <v>19</v>
      </c>
      <c r="C494" t="s">
        <v>14</v>
      </c>
      <c r="D494">
        <v>1</v>
      </c>
      <c r="E494">
        <v>15000000</v>
      </c>
      <c r="F494">
        <v>3</v>
      </c>
      <c r="G494">
        <v>2619000</v>
      </c>
      <c r="H494">
        <v>14550000</v>
      </c>
      <c r="I494">
        <v>12000000</v>
      </c>
      <c r="J494">
        <v>2550000</v>
      </c>
      <c r="K494" t="s">
        <v>30</v>
      </c>
    </row>
    <row r="495" spans="1:11" x14ac:dyDescent="0.3">
      <c r="A495">
        <v>45420</v>
      </c>
      <c r="B495" t="s">
        <v>15</v>
      </c>
      <c r="C495" t="s">
        <v>14</v>
      </c>
      <c r="D495">
        <v>2</v>
      </c>
      <c r="E495">
        <v>18000000</v>
      </c>
      <c r="F495">
        <v>4</v>
      </c>
      <c r="G495">
        <v>3110400</v>
      </c>
      <c r="H495">
        <v>34560000</v>
      </c>
      <c r="I495">
        <v>28800000</v>
      </c>
      <c r="J495">
        <v>5760000</v>
      </c>
      <c r="K495" t="s">
        <v>30</v>
      </c>
    </row>
    <row r="496" spans="1:11" x14ac:dyDescent="0.3">
      <c r="A496">
        <v>45421</v>
      </c>
      <c r="B496" t="s">
        <v>10</v>
      </c>
      <c r="C496" t="s">
        <v>11</v>
      </c>
      <c r="D496">
        <v>2</v>
      </c>
      <c r="E496">
        <v>9000000</v>
      </c>
      <c r="F496">
        <v>3</v>
      </c>
      <c r="G496">
        <v>1571400</v>
      </c>
      <c r="H496">
        <v>17460000</v>
      </c>
      <c r="I496">
        <v>14400000</v>
      </c>
      <c r="J496">
        <v>3060000</v>
      </c>
      <c r="K496" t="s">
        <v>30</v>
      </c>
    </row>
    <row r="497" spans="1:11" x14ac:dyDescent="0.3">
      <c r="A497">
        <v>45422</v>
      </c>
      <c r="B497" t="s">
        <v>19</v>
      </c>
      <c r="C497" t="s">
        <v>18</v>
      </c>
      <c r="D497">
        <v>1</v>
      </c>
      <c r="E497">
        <v>15000000</v>
      </c>
      <c r="F497">
        <v>3</v>
      </c>
      <c r="G497">
        <v>2619000</v>
      </c>
      <c r="H497">
        <v>14550000</v>
      </c>
      <c r="I497">
        <v>12000000</v>
      </c>
      <c r="J497">
        <v>2550000</v>
      </c>
      <c r="K497" t="s">
        <v>30</v>
      </c>
    </row>
    <row r="498" spans="1:11" x14ac:dyDescent="0.3">
      <c r="A498">
        <v>45423</v>
      </c>
      <c r="B498" t="s">
        <v>12</v>
      </c>
      <c r="C498" t="s">
        <v>13</v>
      </c>
      <c r="D498">
        <v>4</v>
      </c>
      <c r="E498">
        <v>17000000</v>
      </c>
      <c r="F498">
        <v>4</v>
      </c>
      <c r="G498">
        <v>2937600</v>
      </c>
      <c r="H498">
        <v>65280000</v>
      </c>
      <c r="I498">
        <v>54400000</v>
      </c>
      <c r="J498">
        <v>10880000</v>
      </c>
      <c r="K498" t="s">
        <v>30</v>
      </c>
    </row>
    <row r="499" spans="1:11" x14ac:dyDescent="0.3">
      <c r="A499">
        <v>45424</v>
      </c>
      <c r="B499" t="s">
        <v>19</v>
      </c>
      <c r="C499" t="s">
        <v>14</v>
      </c>
      <c r="D499">
        <v>2</v>
      </c>
      <c r="E499">
        <v>15000000</v>
      </c>
      <c r="F499">
        <v>6</v>
      </c>
      <c r="G499">
        <v>2538000</v>
      </c>
      <c r="H499">
        <v>28200000</v>
      </c>
      <c r="I499">
        <v>24000000</v>
      </c>
      <c r="J499">
        <v>4200000</v>
      </c>
      <c r="K499" t="s">
        <v>30</v>
      </c>
    </row>
    <row r="500" spans="1:11" x14ac:dyDescent="0.3">
      <c r="A500">
        <v>45425</v>
      </c>
      <c r="B500" t="s">
        <v>16</v>
      </c>
      <c r="C500" t="s">
        <v>17</v>
      </c>
      <c r="D500">
        <v>1</v>
      </c>
      <c r="E500">
        <v>16000000</v>
      </c>
      <c r="F500">
        <v>2</v>
      </c>
      <c r="G500">
        <v>2822400</v>
      </c>
      <c r="H500">
        <v>15680000</v>
      </c>
      <c r="I500">
        <v>12800000</v>
      </c>
      <c r="J500">
        <v>2880000</v>
      </c>
      <c r="K500" t="s">
        <v>30</v>
      </c>
    </row>
    <row r="501" spans="1:11" x14ac:dyDescent="0.3">
      <c r="A501">
        <v>45426</v>
      </c>
      <c r="B501" t="s">
        <v>19</v>
      </c>
      <c r="C501" t="s">
        <v>14</v>
      </c>
      <c r="D501">
        <v>4</v>
      </c>
      <c r="E501">
        <v>15000000</v>
      </c>
      <c r="F501">
        <v>3</v>
      </c>
      <c r="G501">
        <v>2619000</v>
      </c>
      <c r="H501">
        <v>58200000</v>
      </c>
      <c r="I501">
        <v>48000000</v>
      </c>
      <c r="J501">
        <v>10200000</v>
      </c>
      <c r="K501" t="s">
        <v>30</v>
      </c>
    </row>
    <row r="502" spans="1:11" x14ac:dyDescent="0.3">
      <c r="A502">
        <v>45427</v>
      </c>
      <c r="B502" t="s">
        <v>15</v>
      </c>
      <c r="C502" t="s">
        <v>18</v>
      </c>
      <c r="D502">
        <v>3</v>
      </c>
      <c r="E502">
        <v>18000000</v>
      </c>
      <c r="F502">
        <v>6</v>
      </c>
      <c r="G502">
        <v>3045600</v>
      </c>
      <c r="H502">
        <v>50760000</v>
      </c>
      <c r="I502">
        <v>43200000</v>
      </c>
      <c r="J502">
        <v>7560000</v>
      </c>
      <c r="K502" t="s">
        <v>30</v>
      </c>
    </row>
    <row r="503" spans="1:11" x14ac:dyDescent="0.3">
      <c r="A503">
        <v>45428</v>
      </c>
      <c r="B503" t="s">
        <v>16</v>
      </c>
      <c r="C503" t="s">
        <v>13</v>
      </c>
      <c r="D503">
        <v>2</v>
      </c>
      <c r="E503">
        <v>16000000</v>
      </c>
      <c r="F503">
        <v>5</v>
      </c>
      <c r="G503">
        <v>2736000</v>
      </c>
      <c r="H503">
        <v>30400000</v>
      </c>
      <c r="I503">
        <v>25600000</v>
      </c>
      <c r="J503">
        <v>4800000</v>
      </c>
      <c r="K503" t="s">
        <v>30</v>
      </c>
    </row>
    <row r="504" spans="1:11" x14ac:dyDescent="0.3">
      <c r="A504">
        <v>45429</v>
      </c>
      <c r="B504" t="s">
        <v>10</v>
      </c>
      <c r="C504" t="s">
        <v>11</v>
      </c>
      <c r="D504">
        <v>2</v>
      </c>
      <c r="E504">
        <v>9000000</v>
      </c>
      <c r="F504">
        <v>4</v>
      </c>
      <c r="G504">
        <v>1555200</v>
      </c>
      <c r="H504">
        <v>17280000</v>
      </c>
      <c r="I504">
        <v>14400000</v>
      </c>
      <c r="J504">
        <v>2880000</v>
      </c>
      <c r="K504" t="s">
        <v>30</v>
      </c>
    </row>
    <row r="505" spans="1:11" x14ac:dyDescent="0.3">
      <c r="A505">
        <v>45430</v>
      </c>
      <c r="B505" t="s">
        <v>10</v>
      </c>
      <c r="C505" t="s">
        <v>14</v>
      </c>
      <c r="D505">
        <v>2</v>
      </c>
      <c r="E505">
        <v>9000000</v>
      </c>
      <c r="F505">
        <v>3</v>
      </c>
      <c r="G505">
        <v>1571400</v>
      </c>
      <c r="H505">
        <v>17460000</v>
      </c>
      <c r="I505">
        <v>14400000</v>
      </c>
      <c r="J505">
        <v>3060000</v>
      </c>
      <c r="K505" t="s">
        <v>30</v>
      </c>
    </row>
    <row r="506" spans="1:11" x14ac:dyDescent="0.3">
      <c r="A506">
        <v>45431</v>
      </c>
      <c r="B506" t="s">
        <v>16</v>
      </c>
      <c r="C506" t="s">
        <v>14</v>
      </c>
      <c r="D506">
        <v>4</v>
      </c>
      <c r="E506">
        <v>16000000</v>
      </c>
      <c r="F506">
        <v>2</v>
      </c>
      <c r="G506">
        <v>2822400</v>
      </c>
      <c r="H506">
        <v>62720000</v>
      </c>
      <c r="I506">
        <v>51200000</v>
      </c>
      <c r="J506">
        <v>11520000</v>
      </c>
      <c r="K506" t="s">
        <v>30</v>
      </c>
    </row>
    <row r="507" spans="1:11" x14ac:dyDescent="0.3">
      <c r="A507">
        <v>45432</v>
      </c>
      <c r="B507" t="s">
        <v>19</v>
      </c>
      <c r="C507" t="s">
        <v>17</v>
      </c>
      <c r="D507">
        <v>2</v>
      </c>
      <c r="E507">
        <v>15000000</v>
      </c>
      <c r="F507">
        <v>2</v>
      </c>
      <c r="G507">
        <v>2646000</v>
      </c>
      <c r="H507">
        <v>29400000</v>
      </c>
      <c r="I507">
        <v>24000000</v>
      </c>
      <c r="J507">
        <v>5400000</v>
      </c>
      <c r="K507" t="s">
        <v>30</v>
      </c>
    </row>
    <row r="508" spans="1:11" x14ac:dyDescent="0.3">
      <c r="A508">
        <v>45433</v>
      </c>
      <c r="B508" t="s">
        <v>10</v>
      </c>
      <c r="C508" t="s">
        <v>14</v>
      </c>
      <c r="D508">
        <v>1</v>
      </c>
      <c r="E508">
        <v>9000000</v>
      </c>
      <c r="F508">
        <v>3</v>
      </c>
      <c r="G508">
        <v>1571400</v>
      </c>
      <c r="H508">
        <v>8730000</v>
      </c>
      <c r="I508">
        <v>7200000</v>
      </c>
      <c r="J508">
        <v>1530000</v>
      </c>
      <c r="K508" t="s">
        <v>30</v>
      </c>
    </row>
    <row r="509" spans="1:11" x14ac:dyDescent="0.3">
      <c r="A509">
        <v>45434</v>
      </c>
      <c r="B509" t="s">
        <v>12</v>
      </c>
      <c r="C509" t="s">
        <v>17</v>
      </c>
      <c r="D509">
        <v>2</v>
      </c>
      <c r="E509">
        <v>17000000</v>
      </c>
      <c r="F509">
        <v>2</v>
      </c>
      <c r="G509">
        <v>2998800</v>
      </c>
      <c r="H509">
        <v>33320000</v>
      </c>
      <c r="I509">
        <v>27200000</v>
      </c>
      <c r="J509">
        <v>6120000</v>
      </c>
      <c r="K509" t="s">
        <v>30</v>
      </c>
    </row>
    <row r="510" spans="1:11" x14ac:dyDescent="0.3">
      <c r="A510">
        <v>45435</v>
      </c>
      <c r="B510" t="s">
        <v>10</v>
      </c>
      <c r="C510" t="s">
        <v>13</v>
      </c>
      <c r="D510">
        <v>1</v>
      </c>
      <c r="E510">
        <v>9000000</v>
      </c>
      <c r="F510">
        <v>6</v>
      </c>
      <c r="G510">
        <v>1522800</v>
      </c>
      <c r="H510">
        <v>8460000</v>
      </c>
      <c r="I510">
        <v>7200000</v>
      </c>
      <c r="J510">
        <v>1260000</v>
      </c>
      <c r="K510" t="s">
        <v>30</v>
      </c>
    </row>
    <row r="511" spans="1:11" x14ac:dyDescent="0.3">
      <c r="A511">
        <v>45436</v>
      </c>
      <c r="B511" t="s">
        <v>10</v>
      </c>
      <c r="C511" t="s">
        <v>17</v>
      </c>
      <c r="D511">
        <v>1</v>
      </c>
      <c r="E511">
        <v>9000000</v>
      </c>
      <c r="F511">
        <v>4</v>
      </c>
      <c r="G511">
        <v>1555200</v>
      </c>
      <c r="H511">
        <v>8640000</v>
      </c>
      <c r="I511">
        <v>7200000</v>
      </c>
      <c r="J511">
        <v>1440000</v>
      </c>
      <c r="K511" t="s">
        <v>30</v>
      </c>
    </row>
    <row r="512" spans="1:11" x14ac:dyDescent="0.3">
      <c r="A512">
        <v>45437</v>
      </c>
      <c r="B512" t="s">
        <v>16</v>
      </c>
      <c r="C512" t="s">
        <v>14</v>
      </c>
      <c r="D512">
        <v>3</v>
      </c>
      <c r="E512">
        <v>16000000</v>
      </c>
      <c r="F512">
        <v>4</v>
      </c>
      <c r="G512">
        <v>2764800</v>
      </c>
      <c r="H512">
        <v>46080000</v>
      </c>
      <c r="I512">
        <v>38400000</v>
      </c>
      <c r="J512">
        <v>7680000</v>
      </c>
      <c r="K512" t="s">
        <v>30</v>
      </c>
    </row>
    <row r="513" spans="1:11" x14ac:dyDescent="0.3">
      <c r="A513">
        <v>45438</v>
      </c>
      <c r="B513" t="s">
        <v>12</v>
      </c>
      <c r="C513" t="s">
        <v>11</v>
      </c>
      <c r="D513">
        <v>2</v>
      </c>
      <c r="E513">
        <v>17000000</v>
      </c>
      <c r="F513">
        <v>5</v>
      </c>
      <c r="G513">
        <v>2907000</v>
      </c>
      <c r="H513">
        <v>32300000</v>
      </c>
      <c r="I513">
        <v>27200000</v>
      </c>
      <c r="J513">
        <v>5100000</v>
      </c>
      <c r="K513" t="s">
        <v>30</v>
      </c>
    </row>
    <row r="514" spans="1:11" x14ac:dyDescent="0.3">
      <c r="A514">
        <v>45439</v>
      </c>
      <c r="B514" t="s">
        <v>16</v>
      </c>
      <c r="C514" t="s">
        <v>11</v>
      </c>
      <c r="D514">
        <v>4</v>
      </c>
      <c r="E514">
        <v>16000000</v>
      </c>
      <c r="F514">
        <v>2</v>
      </c>
      <c r="G514">
        <v>2822400</v>
      </c>
      <c r="H514">
        <v>62720000</v>
      </c>
      <c r="I514">
        <v>51200000</v>
      </c>
      <c r="J514">
        <v>11520000</v>
      </c>
      <c r="K514" t="s">
        <v>30</v>
      </c>
    </row>
    <row r="515" spans="1:11" x14ac:dyDescent="0.3">
      <c r="A515">
        <v>45440</v>
      </c>
      <c r="B515" t="s">
        <v>15</v>
      </c>
      <c r="C515" t="s">
        <v>14</v>
      </c>
      <c r="D515">
        <v>3</v>
      </c>
      <c r="E515">
        <v>18000000</v>
      </c>
      <c r="F515">
        <v>6</v>
      </c>
      <c r="G515">
        <v>3045600</v>
      </c>
      <c r="H515">
        <v>50760000</v>
      </c>
      <c r="I515">
        <v>43200000</v>
      </c>
      <c r="J515">
        <v>7560000</v>
      </c>
      <c r="K515" t="s">
        <v>30</v>
      </c>
    </row>
    <row r="516" spans="1:11" x14ac:dyDescent="0.3">
      <c r="A516">
        <v>45441</v>
      </c>
      <c r="B516" t="s">
        <v>15</v>
      </c>
      <c r="C516" t="s">
        <v>13</v>
      </c>
      <c r="D516">
        <v>4</v>
      </c>
      <c r="E516">
        <v>18000000</v>
      </c>
      <c r="F516">
        <v>6</v>
      </c>
      <c r="G516">
        <v>3045600</v>
      </c>
      <c r="H516">
        <v>67680000</v>
      </c>
      <c r="I516">
        <v>57600000</v>
      </c>
      <c r="J516">
        <v>10080000</v>
      </c>
      <c r="K516" t="s">
        <v>30</v>
      </c>
    </row>
    <row r="517" spans="1:11" x14ac:dyDescent="0.3">
      <c r="A517">
        <v>45442</v>
      </c>
      <c r="B517" t="s">
        <v>15</v>
      </c>
      <c r="C517" t="s">
        <v>18</v>
      </c>
      <c r="D517">
        <v>3</v>
      </c>
      <c r="E517">
        <v>18000000</v>
      </c>
      <c r="F517">
        <v>2</v>
      </c>
      <c r="G517">
        <v>3175200</v>
      </c>
      <c r="H517">
        <v>52920000</v>
      </c>
      <c r="I517">
        <v>43200000</v>
      </c>
      <c r="J517">
        <v>9720000</v>
      </c>
      <c r="K517" t="s">
        <v>30</v>
      </c>
    </row>
    <row r="518" spans="1:11" x14ac:dyDescent="0.3">
      <c r="A518">
        <v>45443</v>
      </c>
      <c r="B518" t="s">
        <v>16</v>
      </c>
      <c r="C518" t="s">
        <v>14</v>
      </c>
      <c r="D518">
        <v>2</v>
      </c>
      <c r="E518">
        <v>16000000</v>
      </c>
      <c r="F518">
        <v>5</v>
      </c>
      <c r="G518">
        <v>2736000</v>
      </c>
      <c r="H518">
        <v>30400000</v>
      </c>
      <c r="I518">
        <v>25600000</v>
      </c>
      <c r="J518">
        <v>4800000</v>
      </c>
      <c r="K518" t="s">
        <v>30</v>
      </c>
    </row>
    <row r="519" spans="1:11" x14ac:dyDescent="0.3">
      <c r="A519">
        <v>45444</v>
      </c>
      <c r="B519" t="s">
        <v>19</v>
      </c>
      <c r="C519" t="s">
        <v>17</v>
      </c>
      <c r="D519">
        <v>4</v>
      </c>
      <c r="E519">
        <v>15000000</v>
      </c>
      <c r="F519">
        <v>3</v>
      </c>
      <c r="G519">
        <v>2619000</v>
      </c>
      <c r="H519">
        <v>58200000</v>
      </c>
      <c r="I519">
        <v>48000000</v>
      </c>
      <c r="J519">
        <v>10200000</v>
      </c>
      <c r="K519" t="s">
        <v>31</v>
      </c>
    </row>
    <row r="520" spans="1:11" x14ac:dyDescent="0.3">
      <c r="A520">
        <v>45445</v>
      </c>
      <c r="B520" t="s">
        <v>12</v>
      </c>
      <c r="C520" t="s">
        <v>14</v>
      </c>
      <c r="D520">
        <v>4</v>
      </c>
      <c r="E520">
        <v>17000000</v>
      </c>
      <c r="F520">
        <v>3</v>
      </c>
      <c r="G520">
        <v>2968200</v>
      </c>
      <c r="H520">
        <v>65960000</v>
      </c>
      <c r="I520">
        <v>54400000</v>
      </c>
      <c r="J520">
        <v>11560000</v>
      </c>
      <c r="K520" t="s">
        <v>31</v>
      </c>
    </row>
    <row r="521" spans="1:11" x14ac:dyDescent="0.3">
      <c r="A521">
        <v>45446</v>
      </c>
      <c r="B521" t="s">
        <v>12</v>
      </c>
      <c r="C521" t="s">
        <v>13</v>
      </c>
      <c r="D521">
        <v>4</v>
      </c>
      <c r="E521">
        <v>17000000</v>
      </c>
      <c r="F521">
        <v>6</v>
      </c>
      <c r="G521">
        <v>2876400</v>
      </c>
      <c r="H521">
        <v>63920000</v>
      </c>
      <c r="I521">
        <v>54400000</v>
      </c>
      <c r="J521">
        <v>9520000</v>
      </c>
      <c r="K521" t="s">
        <v>31</v>
      </c>
    </row>
    <row r="522" spans="1:11" x14ac:dyDescent="0.3">
      <c r="A522">
        <v>45447</v>
      </c>
      <c r="B522" t="s">
        <v>19</v>
      </c>
      <c r="C522" t="s">
        <v>14</v>
      </c>
      <c r="D522">
        <v>2</v>
      </c>
      <c r="E522">
        <v>15000000</v>
      </c>
      <c r="F522">
        <v>2</v>
      </c>
      <c r="G522">
        <v>2646000</v>
      </c>
      <c r="H522">
        <v>29400000</v>
      </c>
      <c r="I522">
        <v>24000000</v>
      </c>
      <c r="J522">
        <v>5400000</v>
      </c>
      <c r="K522" t="s">
        <v>31</v>
      </c>
    </row>
    <row r="523" spans="1:11" x14ac:dyDescent="0.3">
      <c r="A523">
        <v>45448</v>
      </c>
      <c r="B523" t="s">
        <v>19</v>
      </c>
      <c r="C523" t="s">
        <v>18</v>
      </c>
      <c r="D523">
        <v>3</v>
      </c>
      <c r="E523">
        <v>15000000</v>
      </c>
      <c r="F523">
        <v>2</v>
      </c>
      <c r="G523">
        <v>2646000</v>
      </c>
      <c r="H523">
        <v>44100000</v>
      </c>
      <c r="I523">
        <v>36000000</v>
      </c>
      <c r="J523">
        <v>8100000</v>
      </c>
      <c r="K523" t="s">
        <v>31</v>
      </c>
    </row>
    <row r="524" spans="1:11" x14ac:dyDescent="0.3">
      <c r="A524">
        <v>45449</v>
      </c>
      <c r="B524" t="s">
        <v>16</v>
      </c>
      <c r="C524" t="s">
        <v>18</v>
      </c>
      <c r="D524">
        <v>1</v>
      </c>
      <c r="E524">
        <v>16000000</v>
      </c>
      <c r="F524">
        <v>5</v>
      </c>
      <c r="G524">
        <v>2736000</v>
      </c>
      <c r="H524">
        <v>15200000</v>
      </c>
      <c r="I524">
        <v>12800000</v>
      </c>
      <c r="J524">
        <v>2400000</v>
      </c>
      <c r="K524" t="s">
        <v>31</v>
      </c>
    </row>
    <row r="525" spans="1:11" x14ac:dyDescent="0.3">
      <c r="A525">
        <v>45450</v>
      </c>
      <c r="B525" t="s">
        <v>10</v>
      </c>
      <c r="C525" t="s">
        <v>11</v>
      </c>
      <c r="D525">
        <v>1</v>
      </c>
      <c r="E525">
        <v>9000000</v>
      </c>
      <c r="F525">
        <v>2</v>
      </c>
      <c r="G525">
        <v>1587600</v>
      </c>
      <c r="H525">
        <v>8820000</v>
      </c>
      <c r="I525">
        <v>7200000</v>
      </c>
      <c r="J525">
        <v>1620000</v>
      </c>
      <c r="K525" t="s">
        <v>31</v>
      </c>
    </row>
    <row r="526" spans="1:11" x14ac:dyDescent="0.3">
      <c r="A526">
        <v>45451</v>
      </c>
      <c r="B526" t="s">
        <v>19</v>
      </c>
      <c r="C526" t="s">
        <v>18</v>
      </c>
      <c r="D526">
        <v>4</v>
      </c>
      <c r="E526">
        <v>15000000</v>
      </c>
      <c r="F526">
        <v>3</v>
      </c>
      <c r="G526">
        <v>2619000</v>
      </c>
      <c r="H526">
        <v>58200000</v>
      </c>
      <c r="I526">
        <v>48000000</v>
      </c>
      <c r="J526">
        <v>10200000</v>
      </c>
      <c r="K526" t="s">
        <v>31</v>
      </c>
    </row>
    <row r="527" spans="1:11" x14ac:dyDescent="0.3">
      <c r="A527">
        <v>45452</v>
      </c>
      <c r="B527" t="s">
        <v>19</v>
      </c>
      <c r="C527" t="s">
        <v>18</v>
      </c>
      <c r="D527">
        <v>1</v>
      </c>
      <c r="E527">
        <v>15000000</v>
      </c>
      <c r="F527">
        <v>3</v>
      </c>
      <c r="G527">
        <v>2619000</v>
      </c>
      <c r="H527">
        <v>14550000</v>
      </c>
      <c r="I527">
        <v>12000000</v>
      </c>
      <c r="J527">
        <v>2550000</v>
      </c>
      <c r="K527" t="s">
        <v>31</v>
      </c>
    </row>
    <row r="528" spans="1:11" x14ac:dyDescent="0.3">
      <c r="A528">
        <v>45453</v>
      </c>
      <c r="B528" t="s">
        <v>19</v>
      </c>
      <c r="C528" t="s">
        <v>13</v>
      </c>
      <c r="D528">
        <v>4</v>
      </c>
      <c r="E528">
        <v>15000000</v>
      </c>
      <c r="F528">
        <v>3</v>
      </c>
      <c r="G528">
        <v>2619000</v>
      </c>
      <c r="H528">
        <v>58200000</v>
      </c>
      <c r="I528">
        <v>48000000</v>
      </c>
      <c r="J528">
        <v>10200000</v>
      </c>
      <c r="K528" t="s">
        <v>31</v>
      </c>
    </row>
    <row r="529" spans="1:11" x14ac:dyDescent="0.3">
      <c r="A529">
        <v>45454</v>
      </c>
      <c r="B529" t="s">
        <v>12</v>
      </c>
      <c r="C529" t="s">
        <v>17</v>
      </c>
      <c r="D529">
        <v>3</v>
      </c>
      <c r="E529">
        <v>17000000</v>
      </c>
      <c r="F529">
        <v>6</v>
      </c>
      <c r="G529">
        <v>2876400</v>
      </c>
      <c r="H529">
        <v>47940000</v>
      </c>
      <c r="I529">
        <v>40800000</v>
      </c>
      <c r="J529">
        <v>7140000</v>
      </c>
      <c r="K529" t="s">
        <v>31</v>
      </c>
    </row>
    <row r="530" spans="1:11" x14ac:dyDescent="0.3">
      <c r="A530">
        <v>45455</v>
      </c>
      <c r="B530" t="s">
        <v>12</v>
      </c>
      <c r="C530" t="s">
        <v>17</v>
      </c>
      <c r="D530">
        <v>4</v>
      </c>
      <c r="E530">
        <v>17000000</v>
      </c>
      <c r="F530">
        <v>3</v>
      </c>
      <c r="G530">
        <v>2968200</v>
      </c>
      <c r="H530">
        <v>65960000</v>
      </c>
      <c r="I530">
        <v>54400000</v>
      </c>
      <c r="J530">
        <v>11560000</v>
      </c>
      <c r="K530" t="s">
        <v>31</v>
      </c>
    </row>
    <row r="531" spans="1:11" x14ac:dyDescent="0.3">
      <c r="A531">
        <v>45456</v>
      </c>
      <c r="B531" t="s">
        <v>10</v>
      </c>
      <c r="C531" t="s">
        <v>17</v>
      </c>
      <c r="D531">
        <v>4</v>
      </c>
      <c r="E531">
        <v>9000000</v>
      </c>
      <c r="F531">
        <v>2</v>
      </c>
      <c r="G531">
        <v>1587600</v>
      </c>
      <c r="H531">
        <v>35280000</v>
      </c>
      <c r="I531">
        <v>28800000</v>
      </c>
      <c r="J531">
        <v>6480000</v>
      </c>
      <c r="K531" t="s">
        <v>31</v>
      </c>
    </row>
    <row r="532" spans="1:11" x14ac:dyDescent="0.3">
      <c r="A532">
        <v>45457</v>
      </c>
      <c r="B532" t="s">
        <v>15</v>
      </c>
      <c r="C532" t="s">
        <v>18</v>
      </c>
      <c r="D532">
        <v>1</v>
      </c>
      <c r="E532">
        <v>18000000</v>
      </c>
      <c r="F532">
        <v>6</v>
      </c>
      <c r="G532">
        <v>3045600</v>
      </c>
      <c r="H532">
        <v>16920000</v>
      </c>
      <c r="I532">
        <v>14400000</v>
      </c>
      <c r="J532">
        <v>2520000</v>
      </c>
      <c r="K532" t="s">
        <v>31</v>
      </c>
    </row>
    <row r="533" spans="1:11" x14ac:dyDescent="0.3">
      <c r="A533">
        <v>45458</v>
      </c>
      <c r="B533" t="s">
        <v>19</v>
      </c>
      <c r="C533" t="s">
        <v>14</v>
      </c>
      <c r="D533">
        <v>2</v>
      </c>
      <c r="E533">
        <v>15000000</v>
      </c>
      <c r="F533">
        <v>2</v>
      </c>
      <c r="G533">
        <v>2646000</v>
      </c>
      <c r="H533">
        <v>29400000</v>
      </c>
      <c r="I533">
        <v>24000000</v>
      </c>
      <c r="J533">
        <v>5400000</v>
      </c>
      <c r="K533" t="s">
        <v>31</v>
      </c>
    </row>
    <row r="534" spans="1:11" x14ac:dyDescent="0.3">
      <c r="A534">
        <v>45459</v>
      </c>
      <c r="B534" t="s">
        <v>12</v>
      </c>
      <c r="C534" t="s">
        <v>14</v>
      </c>
      <c r="D534">
        <v>2</v>
      </c>
      <c r="E534">
        <v>17000000</v>
      </c>
      <c r="F534">
        <v>4</v>
      </c>
      <c r="G534">
        <v>2937600</v>
      </c>
      <c r="H534">
        <v>32640000</v>
      </c>
      <c r="I534">
        <v>27200000</v>
      </c>
      <c r="J534">
        <v>5440000</v>
      </c>
      <c r="K534" t="s">
        <v>31</v>
      </c>
    </row>
    <row r="535" spans="1:11" x14ac:dyDescent="0.3">
      <c r="A535">
        <v>45460</v>
      </c>
      <c r="B535" t="s">
        <v>19</v>
      </c>
      <c r="C535" t="s">
        <v>14</v>
      </c>
      <c r="D535">
        <v>1</v>
      </c>
      <c r="E535">
        <v>15000000</v>
      </c>
      <c r="F535">
        <v>4</v>
      </c>
      <c r="G535">
        <v>2592000</v>
      </c>
      <c r="H535">
        <v>14400000</v>
      </c>
      <c r="I535">
        <v>12000000</v>
      </c>
      <c r="J535">
        <v>2400000</v>
      </c>
      <c r="K535" t="s">
        <v>31</v>
      </c>
    </row>
    <row r="536" spans="1:11" x14ac:dyDescent="0.3">
      <c r="A536">
        <v>45461</v>
      </c>
      <c r="B536" t="s">
        <v>10</v>
      </c>
      <c r="C536" t="s">
        <v>17</v>
      </c>
      <c r="D536">
        <v>1</v>
      </c>
      <c r="E536">
        <v>9000000</v>
      </c>
      <c r="F536">
        <v>5</v>
      </c>
      <c r="G536">
        <v>1539000</v>
      </c>
      <c r="H536">
        <v>8550000</v>
      </c>
      <c r="I536">
        <v>7200000</v>
      </c>
      <c r="J536">
        <v>1350000</v>
      </c>
      <c r="K536" t="s">
        <v>31</v>
      </c>
    </row>
    <row r="537" spans="1:11" x14ac:dyDescent="0.3">
      <c r="A537">
        <v>45462</v>
      </c>
      <c r="B537" t="s">
        <v>10</v>
      </c>
      <c r="C537" t="s">
        <v>17</v>
      </c>
      <c r="D537">
        <v>4</v>
      </c>
      <c r="E537">
        <v>9000000</v>
      </c>
      <c r="F537">
        <v>5</v>
      </c>
      <c r="G537">
        <v>1539000</v>
      </c>
      <c r="H537">
        <v>34200000</v>
      </c>
      <c r="I537">
        <v>28800000</v>
      </c>
      <c r="J537">
        <v>5400000</v>
      </c>
      <c r="K537" t="s">
        <v>31</v>
      </c>
    </row>
    <row r="538" spans="1:11" x14ac:dyDescent="0.3">
      <c r="A538">
        <v>45463</v>
      </c>
      <c r="B538" t="s">
        <v>10</v>
      </c>
      <c r="C538" t="s">
        <v>11</v>
      </c>
      <c r="D538">
        <v>4</v>
      </c>
      <c r="E538">
        <v>9000000</v>
      </c>
      <c r="F538">
        <v>6</v>
      </c>
      <c r="G538">
        <v>1522800</v>
      </c>
      <c r="H538">
        <v>33840000</v>
      </c>
      <c r="I538">
        <v>28800000</v>
      </c>
      <c r="J538">
        <v>5040000</v>
      </c>
      <c r="K538" t="s">
        <v>31</v>
      </c>
    </row>
    <row r="539" spans="1:11" x14ac:dyDescent="0.3">
      <c r="A539">
        <v>45464</v>
      </c>
      <c r="B539" t="s">
        <v>16</v>
      </c>
      <c r="C539" t="s">
        <v>11</v>
      </c>
      <c r="D539">
        <v>3</v>
      </c>
      <c r="E539">
        <v>16000000</v>
      </c>
      <c r="F539">
        <v>2</v>
      </c>
      <c r="G539">
        <v>2822400</v>
      </c>
      <c r="H539">
        <v>47040000</v>
      </c>
      <c r="I539">
        <v>38400000</v>
      </c>
      <c r="J539">
        <v>8640000</v>
      </c>
      <c r="K539" t="s">
        <v>31</v>
      </c>
    </row>
    <row r="540" spans="1:11" x14ac:dyDescent="0.3">
      <c r="A540">
        <v>45465</v>
      </c>
      <c r="B540" t="s">
        <v>16</v>
      </c>
      <c r="C540" t="s">
        <v>13</v>
      </c>
      <c r="D540">
        <v>1</v>
      </c>
      <c r="E540">
        <v>16000000</v>
      </c>
      <c r="F540">
        <v>6</v>
      </c>
      <c r="G540">
        <v>2707200</v>
      </c>
      <c r="H540">
        <v>15040000</v>
      </c>
      <c r="I540">
        <v>12800000</v>
      </c>
      <c r="J540">
        <v>2240000</v>
      </c>
      <c r="K540" t="s">
        <v>31</v>
      </c>
    </row>
    <row r="541" spans="1:11" x14ac:dyDescent="0.3">
      <c r="A541">
        <v>45466</v>
      </c>
      <c r="B541" t="s">
        <v>15</v>
      </c>
      <c r="C541" t="s">
        <v>14</v>
      </c>
      <c r="D541">
        <v>4</v>
      </c>
      <c r="E541">
        <v>18000000</v>
      </c>
      <c r="F541">
        <v>4</v>
      </c>
      <c r="G541">
        <v>3110400</v>
      </c>
      <c r="H541">
        <v>69120000</v>
      </c>
      <c r="I541">
        <v>57600000</v>
      </c>
      <c r="J541">
        <v>11520000</v>
      </c>
      <c r="K541" t="s">
        <v>31</v>
      </c>
    </row>
    <row r="542" spans="1:11" x14ac:dyDescent="0.3">
      <c r="A542">
        <v>45467</v>
      </c>
      <c r="B542" t="s">
        <v>12</v>
      </c>
      <c r="C542" t="s">
        <v>14</v>
      </c>
      <c r="D542">
        <v>3</v>
      </c>
      <c r="E542">
        <v>17000000</v>
      </c>
      <c r="F542">
        <v>4</v>
      </c>
      <c r="G542">
        <v>2937600</v>
      </c>
      <c r="H542">
        <v>48960000</v>
      </c>
      <c r="I542">
        <v>40800000</v>
      </c>
      <c r="J542">
        <v>8160000</v>
      </c>
      <c r="K542" t="s">
        <v>31</v>
      </c>
    </row>
    <row r="543" spans="1:11" x14ac:dyDescent="0.3">
      <c r="A543">
        <v>45468</v>
      </c>
      <c r="B543" t="s">
        <v>19</v>
      </c>
      <c r="C543" t="s">
        <v>11</v>
      </c>
      <c r="D543">
        <v>4</v>
      </c>
      <c r="E543">
        <v>15000000</v>
      </c>
      <c r="F543">
        <v>6</v>
      </c>
      <c r="G543">
        <v>2538000</v>
      </c>
      <c r="H543">
        <v>56400000</v>
      </c>
      <c r="I543">
        <v>48000000</v>
      </c>
      <c r="J543">
        <v>8400000</v>
      </c>
      <c r="K543" t="s">
        <v>31</v>
      </c>
    </row>
    <row r="544" spans="1:11" x14ac:dyDescent="0.3">
      <c r="A544">
        <v>45469</v>
      </c>
      <c r="B544" t="s">
        <v>19</v>
      </c>
      <c r="C544" t="s">
        <v>18</v>
      </c>
      <c r="D544">
        <v>4</v>
      </c>
      <c r="E544">
        <v>15000000</v>
      </c>
      <c r="F544">
        <v>5</v>
      </c>
      <c r="G544">
        <v>2565000</v>
      </c>
      <c r="H544">
        <v>57000000</v>
      </c>
      <c r="I544">
        <v>48000000</v>
      </c>
      <c r="J544">
        <v>9000000</v>
      </c>
      <c r="K544" t="s">
        <v>31</v>
      </c>
    </row>
    <row r="545" spans="1:11" x14ac:dyDescent="0.3">
      <c r="A545">
        <v>45470</v>
      </c>
      <c r="B545" t="s">
        <v>16</v>
      </c>
      <c r="C545" t="s">
        <v>14</v>
      </c>
      <c r="D545">
        <v>4</v>
      </c>
      <c r="E545">
        <v>16000000</v>
      </c>
      <c r="F545">
        <v>3</v>
      </c>
      <c r="G545">
        <v>2793600</v>
      </c>
      <c r="H545">
        <v>62080000</v>
      </c>
      <c r="I545">
        <v>51200000</v>
      </c>
      <c r="J545">
        <v>10880000</v>
      </c>
      <c r="K545" t="s">
        <v>31</v>
      </c>
    </row>
    <row r="546" spans="1:11" x14ac:dyDescent="0.3">
      <c r="A546">
        <v>45471</v>
      </c>
      <c r="B546" t="s">
        <v>10</v>
      </c>
      <c r="C546" t="s">
        <v>13</v>
      </c>
      <c r="D546">
        <v>2</v>
      </c>
      <c r="E546">
        <v>9000000</v>
      </c>
      <c r="F546">
        <v>4</v>
      </c>
      <c r="G546">
        <v>1555200</v>
      </c>
      <c r="H546">
        <v>17280000</v>
      </c>
      <c r="I546">
        <v>14400000</v>
      </c>
      <c r="J546">
        <v>2880000</v>
      </c>
      <c r="K546" t="s">
        <v>31</v>
      </c>
    </row>
    <row r="547" spans="1:11" x14ac:dyDescent="0.3">
      <c r="A547">
        <v>45472</v>
      </c>
      <c r="B547" t="s">
        <v>10</v>
      </c>
      <c r="C547" t="s">
        <v>13</v>
      </c>
      <c r="D547">
        <v>4</v>
      </c>
      <c r="E547">
        <v>9000000</v>
      </c>
      <c r="F547">
        <v>3</v>
      </c>
      <c r="G547">
        <v>1571400</v>
      </c>
      <c r="H547">
        <v>34920000</v>
      </c>
      <c r="I547">
        <v>28800000</v>
      </c>
      <c r="J547">
        <v>6120000</v>
      </c>
      <c r="K547" t="s">
        <v>31</v>
      </c>
    </row>
    <row r="548" spans="1:11" x14ac:dyDescent="0.3">
      <c r="A548">
        <v>45473</v>
      </c>
      <c r="B548" t="s">
        <v>10</v>
      </c>
      <c r="C548" t="s">
        <v>18</v>
      </c>
      <c r="D548">
        <v>1</v>
      </c>
      <c r="E548">
        <v>9000000</v>
      </c>
      <c r="F548">
        <v>5</v>
      </c>
      <c r="G548">
        <v>1539000</v>
      </c>
      <c r="H548">
        <v>8550000</v>
      </c>
      <c r="I548">
        <v>7200000</v>
      </c>
      <c r="J548">
        <v>1350000</v>
      </c>
      <c r="K548" t="s">
        <v>31</v>
      </c>
    </row>
    <row r="549" spans="1:11" x14ac:dyDescent="0.3">
      <c r="A549">
        <v>45474</v>
      </c>
      <c r="B549" t="s">
        <v>19</v>
      </c>
      <c r="C549" t="s">
        <v>18</v>
      </c>
      <c r="D549">
        <v>4</v>
      </c>
      <c r="E549">
        <v>15000000</v>
      </c>
      <c r="F549">
        <v>2</v>
      </c>
      <c r="G549">
        <v>2646000</v>
      </c>
      <c r="H549">
        <v>58800000</v>
      </c>
      <c r="I549">
        <v>48000000</v>
      </c>
      <c r="J549">
        <v>10800000</v>
      </c>
      <c r="K549" t="s">
        <v>32</v>
      </c>
    </row>
    <row r="550" spans="1:11" x14ac:dyDescent="0.3">
      <c r="A550">
        <v>45475</v>
      </c>
      <c r="B550" t="s">
        <v>16</v>
      </c>
      <c r="C550" t="s">
        <v>11</v>
      </c>
      <c r="D550">
        <v>2</v>
      </c>
      <c r="E550">
        <v>16000000</v>
      </c>
      <c r="F550">
        <v>2</v>
      </c>
      <c r="G550">
        <v>2822400</v>
      </c>
      <c r="H550">
        <v>31360000</v>
      </c>
      <c r="I550">
        <v>25600000</v>
      </c>
      <c r="J550">
        <v>5760000</v>
      </c>
      <c r="K550" t="s">
        <v>32</v>
      </c>
    </row>
    <row r="551" spans="1:11" x14ac:dyDescent="0.3">
      <c r="A551">
        <v>45476</v>
      </c>
      <c r="B551" t="s">
        <v>16</v>
      </c>
      <c r="C551" t="s">
        <v>13</v>
      </c>
      <c r="D551">
        <v>3</v>
      </c>
      <c r="E551">
        <v>16000000</v>
      </c>
      <c r="F551">
        <v>4</v>
      </c>
      <c r="G551">
        <v>2764800</v>
      </c>
      <c r="H551">
        <v>46080000</v>
      </c>
      <c r="I551">
        <v>38400000</v>
      </c>
      <c r="J551">
        <v>7680000</v>
      </c>
      <c r="K551" t="s">
        <v>32</v>
      </c>
    </row>
    <row r="552" spans="1:11" x14ac:dyDescent="0.3">
      <c r="A552">
        <v>45477</v>
      </c>
      <c r="B552" t="s">
        <v>12</v>
      </c>
      <c r="C552" t="s">
        <v>18</v>
      </c>
      <c r="D552">
        <v>4</v>
      </c>
      <c r="E552">
        <v>17000000</v>
      </c>
      <c r="F552">
        <v>4</v>
      </c>
      <c r="G552">
        <v>2937600</v>
      </c>
      <c r="H552">
        <v>65280000</v>
      </c>
      <c r="I552">
        <v>54400000</v>
      </c>
      <c r="J552">
        <v>10880000</v>
      </c>
      <c r="K552" t="s">
        <v>32</v>
      </c>
    </row>
    <row r="553" spans="1:11" x14ac:dyDescent="0.3">
      <c r="A553">
        <v>45478</v>
      </c>
      <c r="B553" t="s">
        <v>16</v>
      </c>
      <c r="C553" t="s">
        <v>14</v>
      </c>
      <c r="D553">
        <v>1</v>
      </c>
      <c r="E553">
        <v>16000000</v>
      </c>
      <c r="F553">
        <v>4</v>
      </c>
      <c r="G553">
        <v>2764800</v>
      </c>
      <c r="H553">
        <v>15360000</v>
      </c>
      <c r="I553">
        <v>12800000</v>
      </c>
      <c r="J553">
        <v>2560000</v>
      </c>
      <c r="K553" t="s">
        <v>32</v>
      </c>
    </row>
    <row r="554" spans="1:11" x14ac:dyDescent="0.3">
      <c r="A554">
        <v>45479</v>
      </c>
      <c r="B554" t="s">
        <v>19</v>
      </c>
      <c r="C554" t="s">
        <v>17</v>
      </c>
      <c r="D554">
        <v>3</v>
      </c>
      <c r="E554">
        <v>15000000</v>
      </c>
      <c r="F554">
        <v>6</v>
      </c>
      <c r="G554">
        <v>2538000</v>
      </c>
      <c r="H554">
        <v>42300000</v>
      </c>
      <c r="I554">
        <v>36000000</v>
      </c>
      <c r="J554">
        <v>6300000</v>
      </c>
      <c r="K554" t="s">
        <v>32</v>
      </c>
    </row>
    <row r="555" spans="1:11" x14ac:dyDescent="0.3">
      <c r="A555">
        <v>45480</v>
      </c>
      <c r="B555" t="s">
        <v>10</v>
      </c>
      <c r="C555" t="s">
        <v>17</v>
      </c>
      <c r="D555">
        <v>1</v>
      </c>
      <c r="E555">
        <v>9000000</v>
      </c>
      <c r="F555">
        <v>5</v>
      </c>
      <c r="G555">
        <v>1539000</v>
      </c>
      <c r="H555">
        <v>8550000</v>
      </c>
      <c r="I555">
        <v>7200000</v>
      </c>
      <c r="J555">
        <v>1350000</v>
      </c>
      <c r="K555" t="s">
        <v>32</v>
      </c>
    </row>
    <row r="556" spans="1:11" x14ac:dyDescent="0.3">
      <c r="A556">
        <v>45481</v>
      </c>
      <c r="B556" t="s">
        <v>15</v>
      </c>
      <c r="C556" t="s">
        <v>18</v>
      </c>
      <c r="D556">
        <v>1</v>
      </c>
      <c r="E556">
        <v>18000000</v>
      </c>
      <c r="F556">
        <v>5</v>
      </c>
      <c r="G556">
        <v>3078000</v>
      </c>
      <c r="H556">
        <v>17100000</v>
      </c>
      <c r="I556">
        <v>14400000</v>
      </c>
      <c r="J556">
        <v>2700000</v>
      </c>
      <c r="K556" t="s">
        <v>32</v>
      </c>
    </row>
    <row r="557" spans="1:11" x14ac:dyDescent="0.3">
      <c r="A557">
        <v>45482</v>
      </c>
      <c r="B557" t="s">
        <v>19</v>
      </c>
      <c r="C557" t="s">
        <v>18</v>
      </c>
      <c r="D557">
        <v>2</v>
      </c>
      <c r="E557">
        <v>15000000</v>
      </c>
      <c r="F557">
        <v>3</v>
      </c>
      <c r="G557">
        <v>2619000</v>
      </c>
      <c r="H557">
        <v>29100000</v>
      </c>
      <c r="I557">
        <v>24000000</v>
      </c>
      <c r="J557">
        <v>5100000</v>
      </c>
      <c r="K557" t="s">
        <v>32</v>
      </c>
    </row>
    <row r="558" spans="1:11" x14ac:dyDescent="0.3">
      <c r="A558">
        <v>45483</v>
      </c>
      <c r="B558" t="s">
        <v>16</v>
      </c>
      <c r="C558" t="s">
        <v>11</v>
      </c>
      <c r="D558">
        <v>1</v>
      </c>
      <c r="E558">
        <v>16000000</v>
      </c>
      <c r="F558">
        <v>2</v>
      </c>
      <c r="G558">
        <v>2822400</v>
      </c>
      <c r="H558">
        <v>15680000</v>
      </c>
      <c r="I558">
        <v>12800000</v>
      </c>
      <c r="J558">
        <v>2880000</v>
      </c>
      <c r="K558" t="s">
        <v>32</v>
      </c>
    </row>
    <row r="559" spans="1:11" x14ac:dyDescent="0.3">
      <c r="A559">
        <v>45484</v>
      </c>
      <c r="B559" t="s">
        <v>19</v>
      </c>
      <c r="C559" t="s">
        <v>17</v>
      </c>
      <c r="D559">
        <v>1</v>
      </c>
      <c r="E559">
        <v>15000000</v>
      </c>
      <c r="F559">
        <v>3</v>
      </c>
      <c r="G559">
        <v>2619000</v>
      </c>
      <c r="H559">
        <v>14550000</v>
      </c>
      <c r="I559">
        <v>12000000</v>
      </c>
      <c r="J559">
        <v>2550000</v>
      </c>
      <c r="K559" t="s">
        <v>32</v>
      </c>
    </row>
    <row r="560" spans="1:11" x14ac:dyDescent="0.3">
      <c r="A560">
        <v>45485</v>
      </c>
      <c r="B560" t="s">
        <v>10</v>
      </c>
      <c r="C560" t="s">
        <v>18</v>
      </c>
      <c r="D560">
        <v>2</v>
      </c>
      <c r="E560">
        <v>9000000</v>
      </c>
      <c r="F560">
        <v>6</v>
      </c>
      <c r="G560">
        <v>1522800</v>
      </c>
      <c r="H560">
        <v>16920000</v>
      </c>
      <c r="I560">
        <v>14400000</v>
      </c>
      <c r="J560">
        <v>2520000</v>
      </c>
      <c r="K560" t="s">
        <v>32</v>
      </c>
    </row>
    <row r="561" spans="1:11" x14ac:dyDescent="0.3">
      <c r="A561">
        <v>45486</v>
      </c>
      <c r="B561" t="s">
        <v>19</v>
      </c>
      <c r="C561" t="s">
        <v>17</v>
      </c>
      <c r="D561">
        <v>2</v>
      </c>
      <c r="E561">
        <v>15000000</v>
      </c>
      <c r="F561">
        <v>5</v>
      </c>
      <c r="G561">
        <v>2565000</v>
      </c>
      <c r="H561">
        <v>28500000</v>
      </c>
      <c r="I561">
        <v>24000000</v>
      </c>
      <c r="J561">
        <v>4500000</v>
      </c>
      <c r="K561" t="s">
        <v>32</v>
      </c>
    </row>
    <row r="562" spans="1:11" x14ac:dyDescent="0.3">
      <c r="A562">
        <v>45487</v>
      </c>
      <c r="B562" t="s">
        <v>19</v>
      </c>
      <c r="C562" t="s">
        <v>14</v>
      </c>
      <c r="D562">
        <v>3</v>
      </c>
      <c r="E562">
        <v>15000000</v>
      </c>
      <c r="F562">
        <v>5</v>
      </c>
      <c r="G562">
        <v>2565000</v>
      </c>
      <c r="H562">
        <v>42750000</v>
      </c>
      <c r="I562">
        <v>36000000</v>
      </c>
      <c r="J562">
        <v>6750000</v>
      </c>
      <c r="K562" t="s">
        <v>32</v>
      </c>
    </row>
    <row r="563" spans="1:11" x14ac:dyDescent="0.3">
      <c r="A563">
        <v>45488</v>
      </c>
      <c r="B563" t="s">
        <v>15</v>
      </c>
      <c r="C563" t="s">
        <v>13</v>
      </c>
      <c r="D563">
        <v>2</v>
      </c>
      <c r="E563">
        <v>18000000</v>
      </c>
      <c r="F563">
        <v>6</v>
      </c>
      <c r="G563">
        <v>3045600</v>
      </c>
      <c r="H563">
        <v>33840000</v>
      </c>
      <c r="I563">
        <v>28800000</v>
      </c>
      <c r="J563">
        <v>5040000</v>
      </c>
      <c r="K563" t="s">
        <v>32</v>
      </c>
    </row>
    <row r="564" spans="1:11" x14ac:dyDescent="0.3">
      <c r="A564">
        <v>45489</v>
      </c>
      <c r="B564" t="s">
        <v>10</v>
      </c>
      <c r="C564" t="s">
        <v>14</v>
      </c>
      <c r="D564">
        <v>2</v>
      </c>
      <c r="E564">
        <v>9000000</v>
      </c>
      <c r="F564">
        <v>6</v>
      </c>
      <c r="G564">
        <v>1522800</v>
      </c>
      <c r="H564">
        <v>16920000</v>
      </c>
      <c r="I564">
        <v>14400000</v>
      </c>
      <c r="J564">
        <v>2520000</v>
      </c>
      <c r="K564" t="s">
        <v>32</v>
      </c>
    </row>
    <row r="565" spans="1:11" x14ac:dyDescent="0.3">
      <c r="A565">
        <v>45490</v>
      </c>
      <c r="B565" t="s">
        <v>16</v>
      </c>
      <c r="C565" t="s">
        <v>17</v>
      </c>
      <c r="D565">
        <v>1</v>
      </c>
      <c r="E565">
        <v>16000000</v>
      </c>
      <c r="F565">
        <v>6</v>
      </c>
      <c r="G565">
        <v>2707200</v>
      </c>
      <c r="H565">
        <v>15040000</v>
      </c>
      <c r="I565">
        <v>12800000</v>
      </c>
      <c r="J565">
        <v>2240000</v>
      </c>
      <c r="K565" t="s">
        <v>32</v>
      </c>
    </row>
    <row r="566" spans="1:11" x14ac:dyDescent="0.3">
      <c r="A566">
        <v>45491</v>
      </c>
      <c r="B566" t="s">
        <v>10</v>
      </c>
      <c r="C566" t="s">
        <v>11</v>
      </c>
      <c r="D566">
        <v>2</v>
      </c>
      <c r="E566">
        <v>9000000</v>
      </c>
      <c r="F566">
        <v>3</v>
      </c>
      <c r="G566">
        <v>1571400</v>
      </c>
      <c r="H566">
        <v>17460000</v>
      </c>
      <c r="I566">
        <v>14400000</v>
      </c>
      <c r="J566">
        <v>3060000</v>
      </c>
      <c r="K566" t="s">
        <v>32</v>
      </c>
    </row>
    <row r="567" spans="1:11" x14ac:dyDescent="0.3">
      <c r="A567">
        <v>45492</v>
      </c>
      <c r="B567" t="s">
        <v>10</v>
      </c>
      <c r="C567" t="s">
        <v>14</v>
      </c>
      <c r="D567">
        <v>4</v>
      </c>
      <c r="E567">
        <v>9000000</v>
      </c>
      <c r="F567">
        <v>3</v>
      </c>
      <c r="G567">
        <v>1571400</v>
      </c>
      <c r="H567">
        <v>34920000</v>
      </c>
      <c r="I567">
        <v>28800000</v>
      </c>
      <c r="J567">
        <v>6120000</v>
      </c>
      <c r="K567" t="s">
        <v>32</v>
      </c>
    </row>
    <row r="568" spans="1:11" x14ac:dyDescent="0.3">
      <c r="A568">
        <v>45493</v>
      </c>
      <c r="B568" t="s">
        <v>16</v>
      </c>
      <c r="C568" t="s">
        <v>14</v>
      </c>
      <c r="D568">
        <v>1</v>
      </c>
      <c r="E568">
        <v>16000000</v>
      </c>
      <c r="F568">
        <v>2</v>
      </c>
      <c r="G568">
        <v>2822400</v>
      </c>
      <c r="H568">
        <v>15680000</v>
      </c>
      <c r="I568">
        <v>12800000</v>
      </c>
      <c r="J568">
        <v>2880000</v>
      </c>
      <c r="K568" t="s">
        <v>32</v>
      </c>
    </row>
    <row r="569" spans="1:11" x14ac:dyDescent="0.3">
      <c r="A569">
        <v>45494</v>
      </c>
      <c r="B569" t="s">
        <v>10</v>
      </c>
      <c r="C569" t="s">
        <v>11</v>
      </c>
      <c r="D569">
        <v>1</v>
      </c>
      <c r="E569">
        <v>9000000</v>
      </c>
      <c r="F569">
        <v>2</v>
      </c>
      <c r="G569">
        <v>1587600</v>
      </c>
      <c r="H569">
        <v>8820000</v>
      </c>
      <c r="I569">
        <v>7200000</v>
      </c>
      <c r="J569">
        <v>1620000</v>
      </c>
      <c r="K569" t="s">
        <v>32</v>
      </c>
    </row>
    <row r="570" spans="1:11" x14ac:dyDescent="0.3">
      <c r="A570">
        <v>45495</v>
      </c>
      <c r="B570" t="s">
        <v>10</v>
      </c>
      <c r="C570" t="s">
        <v>14</v>
      </c>
      <c r="D570">
        <v>2</v>
      </c>
      <c r="E570">
        <v>9000000</v>
      </c>
      <c r="F570">
        <v>3</v>
      </c>
      <c r="G570">
        <v>1571400</v>
      </c>
      <c r="H570">
        <v>17460000</v>
      </c>
      <c r="I570">
        <v>14400000</v>
      </c>
      <c r="J570">
        <v>3060000</v>
      </c>
      <c r="K570" t="s">
        <v>32</v>
      </c>
    </row>
    <row r="571" spans="1:11" x14ac:dyDescent="0.3">
      <c r="A571">
        <v>45496</v>
      </c>
      <c r="B571" t="s">
        <v>12</v>
      </c>
      <c r="C571" t="s">
        <v>13</v>
      </c>
      <c r="D571">
        <v>1</v>
      </c>
      <c r="E571">
        <v>17000000</v>
      </c>
      <c r="F571">
        <v>3</v>
      </c>
      <c r="G571">
        <v>2968200</v>
      </c>
      <c r="H571">
        <v>16490000</v>
      </c>
      <c r="I571">
        <v>13600000</v>
      </c>
      <c r="J571">
        <v>2890000</v>
      </c>
      <c r="K571" t="s">
        <v>32</v>
      </c>
    </row>
    <row r="572" spans="1:11" x14ac:dyDescent="0.3">
      <c r="A572">
        <v>45497</v>
      </c>
      <c r="B572" t="s">
        <v>15</v>
      </c>
      <c r="C572" t="s">
        <v>17</v>
      </c>
      <c r="D572">
        <v>4</v>
      </c>
      <c r="E572">
        <v>18000000</v>
      </c>
      <c r="F572">
        <v>4</v>
      </c>
      <c r="G572">
        <v>3110400</v>
      </c>
      <c r="H572">
        <v>69120000</v>
      </c>
      <c r="I572">
        <v>57600000</v>
      </c>
      <c r="J572">
        <v>11520000</v>
      </c>
      <c r="K572" t="s">
        <v>32</v>
      </c>
    </row>
    <row r="573" spans="1:11" x14ac:dyDescent="0.3">
      <c r="A573">
        <v>45498</v>
      </c>
      <c r="B573" t="s">
        <v>19</v>
      </c>
      <c r="C573" t="s">
        <v>13</v>
      </c>
      <c r="D573">
        <v>2</v>
      </c>
      <c r="E573">
        <v>15000000</v>
      </c>
      <c r="F573">
        <v>5</v>
      </c>
      <c r="G573">
        <v>2565000</v>
      </c>
      <c r="H573">
        <v>28500000</v>
      </c>
      <c r="I573">
        <v>24000000</v>
      </c>
      <c r="J573">
        <v>4500000</v>
      </c>
      <c r="K573" t="s">
        <v>32</v>
      </c>
    </row>
    <row r="574" spans="1:11" x14ac:dyDescent="0.3">
      <c r="A574">
        <v>45499</v>
      </c>
      <c r="B574" t="s">
        <v>15</v>
      </c>
      <c r="C574" t="s">
        <v>11</v>
      </c>
      <c r="D574">
        <v>4</v>
      </c>
      <c r="E574">
        <v>18000000</v>
      </c>
      <c r="F574">
        <v>4</v>
      </c>
      <c r="G574">
        <v>3110400</v>
      </c>
      <c r="H574">
        <v>69120000</v>
      </c>
      <c r="I574">
        <v>57600000</v>
      </c>
      <c r="J574">
        <v>11520000</v>
      </c>
      <c r="K574" t="s">
        <v>32</v>
      </c>
    </row>
    <row r="575" spans="1:11" x14ac:dyDescent="0.3">
      <c r="A575">
        <v>45500</v>
      </c>
      <c r="B575" t="s">
        <v>10</v>
      </c>
      <c r="C575" t="s">
        <v>11</v>
      </c>
      <c r="D575">
        <v>3</v>
      </c>
      <c r="E575">
        <v>9000000</v>
      </c>
      <c r="F575">
        <v>5</v>
      </c>
      <c r="G575">
        <v>1539000</v>
      </c>
      <c r="H575">
        <v>25650000</v>
      </c>
      <c r="I575">
        <v>21600000</v>
      </c>
      <c r="J575">
        <v>4050000</v>
      </c>
      <c r="K575" t="s">
        <v>32</v>
      </c>
    </row>
    <row r="576" spans="1:11" x14ac:dyDescent="0.3">
      <c r="A576">
        <v>45501</v>
      </c>
      <c r="B576" t="s">
        <v>15</v>
      </c>
      <c r="C576" t="s">
        <v>11</v>
      </c>
      <c r="D576">
        <v>3</v>
      </c>
      <c r="E576">
        <v>18000000</v>
      </c>
      <c r="F576">
        <v>3</v>
      </c>
      <c r="G576">
        <v>3142800</v>
      </c>
      <c r="H576">
        <v>52380000</v>
      </c>
      <c r="I576">
        <v>43200000</v>
      </c>
      <c r="J576">
        <v>9180000</v>
      </c>
      <c r="K576" t="s">
        <v>32</v>
      </c>
    </row>
    <row r="577" spans="1:11" x14ac:dyDescent="0.3">
      <c r="A577">
        <v>45502</v>
      </c>
      <c r="B577" t="s">
        <v>16</v>
      </c>
      <c r="C577" t="s">
        <v>11</v>
      </c>
      <c r="D577">
        <v>2</v>
      </c>
      <c r="E577">
        <v>16000000</v>
      </c>
      <c r="F577">
        <v>2</v>
      </c>
      <c r="G577">
        <v>2822400</v>
      </c>
      <c r="H577">
        <v>31360000</v>
      </c>
      <c r="I577">
        <v>25600000</v>
      </c>
      <c r="J577">
        <v>5760000</v>
      </c>
      <c r="K577" t="s">
        <v>32</v>
      </c>
    </row>
    <row r="578" spans="1:11" x14ac:dyDescent="0.3">
      <c r="A578">
        <v>45503</v>
      </c>
      <c r="B578" t="s">
        <v>19</v>
      </c>
      <c r="C578" t="s">
        <v>17</v>
      </c>
      <c r="D578">
        <v>3</v>
      </c>
      <c r="E578">
        <v>15000000</v>
      </c>
      <c r="F578">
        <v>2</v>
      </c>
      <c r="G578">
        <v>2646000</v>
      </c>
      <c r="H578">
        <v>44100000</v>
      </c>
      <c r="I578">
        <v>36000000</v>
      </c>
      <c r="J578">
        <v>8100000</v>
      </c>
      <c r="K578" t="s">
        <v>32</v>
      </c>
    </row>
    <row r="579" spans="1:11" x14ac:dyDescent="0.3">
      <c r="A579">
        <v>45504</v>
      </c>
      <c r="B579" t="s">
        <v>15</v>
      </c>
      <c r="C579" t="s">
        <v>14</v>
      </c>
      <c r="D579">
        <v>3</v>
      </c>
      <c r="E579">
        <v>18000000</v>
      </c>
      <c r="F579">
        <v>6</v>
      </c>
      <c r="G579">
        <v>3045600</v>
      </c>
      <c r="H579">
        <v>50760000</v>
      </c>
      <c r="I579">
        <v>43200000</v>
      </c>
      <c r="J579">
        <v>7560000</v>
      </c>
      <c r="K579" t="s">
        <v>32</v>
      </c>
    </row>
    <row r="580" spans="1:11" x14ac:dyDescent="0.3">
      <c r="A580">
        <v>45505</v>
      </c>
      <c r="B580" t="s">
        <v>16</v>
      </c>
      <c r="C580" t="s">
        <v>13</v>
      </c>
      <c r="D580">
        <v>4</v>
      </c>
      <c r="E580">
        <v>16000000</v>
      </c>
      <c r="F580">
        <v>2</v>
      </c>
      <c r="G580">
        <v>2822400</v>
      </c>
      <c r="H580">
        <v>62720000</v>
      </c>
      <c r="I580">
        <v>51200000</v>
      </c>
      <c r="J580">
        <v>11520000</v>
      </c>
      <c r="K580" t="s">
        <v>33</v>
      </c>
    </row>
    <row r="581" spans="1:11" x14ac:dyDescent="0.3">
      <c r="A581">
        <v>45506</v>
      </c>
      <c r="B581" t="s">
        <v>12</v>
      </c>
      <c r="C581" t="s">
        <v>17</v>
      </c>
      <c r="D581">
        <v>3</v>
      </c>
      <c r="E581">
        <v>17000000</v>
      </c>
      <c r="F581">
        <v>4</v>
      </c>
      <c r="G581">
        <v>2937600</v>
      </c>
      <c r="H581">
        <v>48960000</v>
      </c>
      <c r="I581">
        <v>40800000</v>
      </c>
      <c r="J581">
        <v>8160000</v>
      </c>
      <c r="K581" t="s">
        <v>33</v>
      </c>
    </row>
    <row r="582" spans="1:11" x14ac:dyDescent="0.3">
      <c r="A582">
        <v>45507</v>
      </c>
      <c r="B582" t="s">
        <v>10</v>
      </c>
      <c r="C582" t="s">
        <v>14</v>
      </c>
      <c r="D582">
        <v>4</v>
      </c>
      <c r="E582">
        <v>9000000</v>
      </c>
      <c r="F582">
        <v>3</v>
      </c>
      <c r="G582">
        <v>1571400</v>
      </c>
      <c r="H582">
        <v>34920000</v>
      </c>
      <c r="I582">
        <v>28800000</v>
      </c>
      <c r="J582">
        <v>6120000</v>
      </c>
      <c r="K582" t="s">
        <v>33</v>
      </c>
    </row>
    <row r="583" spans="1:11" x14ac:dyDescent="0.3">
      <c r="A583">
        <v>45508</v>
      </c>
      <c r="B583" t="s">
        <v>19</v>
      </c>
      <c r="C583" t="s">
        <v>17</v>
      </c>
      <c r="D583">
        <v>2</v>
      </c>
      <c r="E583">
        <v>15000000</v>
      </c>
      <c r="F583">
        <v>6</v>
      </c>
      <c r="G583">
        <v>2538000</v>
      </c>
      <c r="H583">
        <v>28200000</v>
      </c>
      <c r="I583">
        <v>24000000</v>
      </c>
      <c r="J583">
        <v>4200000</v>
      </c>
      <c r="K583" t="s">
        <v>33</v>
      </c>
    </row>
    <row r="584" spans="1:11" x14ac:dyDescent="0.3">
      <c r="A584">
        <v>45509</v>
      </c>
      <c r="B584" t="s">
        <v>15</v>
      </c>
      <c r="C584" t="s">
        <v>17</v>
      </c>
      <c r="D584">
        <v>2</v>
      </c>
      <c r="E584">
        <v>18000000</v>
      </c>
      <c r="F584">
        <v>3</v>
      </c>
      <c r="G584">
        <v>3142800</v>
      </c>
      <c r="H584">
        <v>34920000</v>
      </c>
      <c r="I584">
        <v>28800000</v>
      </c>
      <c r="J584">
        <v>6120000</v>
      </c>
      <c r="K584" t="s">
        <v>33</v>
      </c>
    </row>
    <row r="585" spans="1:11" x14ac:dyDescent="0.3">
      <c r="A585">
        <v>45510</v>
      </c>
      <c r="B585" t="s">
        <v>15</v>
      </c>
      <c r="C585" t="s">
        <v>18</v>
      </c>
      <c r="D585">
        <v>2</v>
      </c>
      <c r="E585">
        <v>18000000</v>
      </c>
      <c r="F585">
        <v>3</v>
      </c>
      <c r="G585">
        <v>3142800</v>
      </c>
      <c r="H585">
        <v>34920000</v>
      </c>
      <c r="I585">
        <v>28800000</v>
      </c>
      <c r="J585">
        <v>6120000</v>
      </c>
      <c r="K585" t="s">
        <v>33</v>
      </c>
    </row>
    <row r="586" spans="1:11" x14ac:dyDescent="0.3">
      <c r="A586">
        <v>45511</v>
      </c>
      <c r="B586" t="s">
        <v>12</v>
      </c>
      <c r="C586" t="s">
        <v>14</v>
      </c>
      <c r="D586">
        <v>4</v>
      </c>
      <c r="E586">
        <v>17000000</v>
      </c>
      <c r="F586">
        <v>3</v>
      </c>
      <c r="G586">
        <v>2968200</v>
      </c>
      <c r="H586">
        <v>65960000</v>
      </c>
      <c r="I586">
        <v>54400000</v>
      </c>
      <c r="J586">
        <v>11560000</v>
      </c>
      <c r="K586" t="s">
        <v>33</v>
      </c>
    </row>
    <row r="587" spans="1:11" x14ac:dyDescent="0.3">
      <c r="A587">
        <v>45512</v>
      </c>
      <c r="B587" t="s">
        <v>10</v>
      </c>
      <c r="C587" t="s">
        <v>11</v>
      </c>
      <c r="D587">
        <v>2</v>
      </c>
      <c r="E587">
        <v>9000000</v>
      </c>
      <c r="F587">
        <v>6</v>
      </c>
      <c r="G587">
        <v>1522800</v>
      </c>
      <c r="H587">
        <v>16920000</v>
      </c>
      <c r="I587">
        <v>14400000</v>
      </c>
      <c r="J587">
        <v>2520000</v>
      </c>
      <c r="K587" t="s">
        <v>33</v>
      </c>
    </row>
    <row r="588" spans="1:11" x14ac:dyDescent="0.3">
      <c r="A588">
        <v>45513</v>
      </c>
      <c r="B588" t="s">
        <v>12</v>
      </c>
      <c r="C588" t="s">
        <v>14</v>
      </c>
      <c r="D588">
        <v>3</v>
      </c>
      <c r="E588">
        <v>17000000</v>
      </c>
      <c r="F588">
        <v>6</v>
      </c>
      <c r="G588">
        <v>2876400</v>
      </c>
      <c r="H588">
        <v>47940000</v>
      </c>
      <c r="I588">
        <v>40800000</v>
      </c>
      <c r="J588">
        <v>7140000</v>
      </c>
      <c r="K588" t="s">
        <v>33</v>
      </c>
    </row>
    <row r="589" spans="1:11" x14ac:dyDescent="0.3">
      <c r="A589">
        <v>45514</v>
      </c>
      <c r="B589" t="s">
        <v>12</v>
      </c>
      <c r="C589" t="s">
        <v>18</v>
      </c>
      <c r="D589">
        <v>1</v>
      </c>
      <c r="E589">
        <v>17000000</v>
      </c>
      <c r="F589">
        <v>4</v>
      </c>
      <c r="G589">
        <v>2937600</v>
      </c>
      <c r="H589">
        <v>16320000</v>
      </c>
      <c r="I589">
        <v>13600000</v>
      </c>
      <c r="J589">
        <v>2720000</v>
      </c>
      <c r="K589" t="s">
        <v>33</v>
      </c>
    </row>
    <row r="590" spans="1:11" x14ac:dyDescent="0.3">
      <c r="A590">
        <v>45515</v>
      </c>
      <c r="B590" t="s">
        <v>12</v>
      </c>
      <c r="C590" t="s">
        <v>11</v>
      </c>
      <c r="D590">
        <v>1</v>
      </c>
      <c r="E590">
        <v>17000000</v>
      </c>
      <c r="F590">
        <v>3</v>
      </c>
      <c r="G590">
        <v>2968200</v>
      </c>
      <c r="H590">
        <v>16490000</v>
      </c>
      <c r="I590">
        <v>13600000</v>
      </c>
      <c r="J590">
        <v>2890000</v>
      </c>
      <c r="K590" t="s">
        <v>33</v>
      </c>
    </row>
    <row r="591" spans="1:11" x14ac:dyDescent="0.3">
      <c r="A591">
        <v>45516</v>
      </c>
      <c r="B591" t="s">
        <v>15</v>
      </c>
      <c r="C591" t="s">
        <v>11</v>
      </c>
      <c r="D591">
        <v>3</v>
      </c>
      <c r="E591">
        <v>18000000</v>
      </c>
      <c r="F591">
        <v>5</v>
      </c>
      <c r="G591">
        <v>3078000</v>
      </c>
      <c r="H591">
        <v>51300000</v>
      </c>
      <c r="I591">
        <v>43200000</v>
      </c>
      <c r="J591">
        <v>8100000</v>
      </c>
      <c r="K591" t="s">
        <v>33</v>
      </c>
    </row>
    <row r="592" spans="1:11" x14ac:dyDescent="0.3">
      <c r="A592">
        <v>45517</v>
      </c>
      <c r="B592" t="s">
        <v>12</v>
      </c>
      <c r="C592" t="s">
        <v>18</v>
      </c>
      <c r="D592">
        <v>2</v>
      </c>
      <c r="E592">
        <v>17000000</v>
      </c>
      <c r="F592">
        <v>3</v>
      </c>
      <c r="G592">
        <v>2968200</v>
      </c>
      <c r="H592">
        <v>32980000</v>
      </c>
      <c r="I592">
        <v>27200000</v>
      </c>
      <c r="J592">
        <v>5780000</v>
      </c>
      <c r="K592" t="s">
        <v>33</v>
      </c>
    </row>
    <row r="593" spans="1:11" x14ac:dyDescent="0.3">
      <c r="A593">
        <v>45518</v>
      </c>
      <c r="B593" t="s">
        <v>15</v>
      </c>
      <c r="C593" t="s">
        <v>17</v>
      </c>
      <c r="D593">
        <v>3</v>
      </c>
      <c r="E593">
        <v>18000000</v>
      </c>
      <c r="F593">
        <v>3</v>
      </c>
      <c r="G593">
        <v>3142800</v>
      </c>
      <c r="H593">
        <v>52380000</v>
      </c>
      <c r="I593">
        <v>43200000</v>
      </c>
      <c r="J593">
        <v>9180000</v>
      </c>
      <c r="K593" t="s">
        <v>33</v>
      </c>
    </row>
    <row r="594" spans="1:11" x14ac:dyDescent="0.3">
      <c r="A594">
        <v>45519</v>
      </c>
      <c r="B594" t="s">
        <v>15</v>
      </c>
      <c r="C594" t="s">
        <v>13</v>
      </c>
      <c r="D594">
        <v>2</v>
      </c>
      <c r="E594">
        <v>18000000</v>
      </c>
      <c r="F594">
        <v>3</v>
      </c>
      <c r="G594">
        <v>3142800</v>
      </c>
      <c r="H594">
        <v>34920000</v>
      </c>
      <c r="I594">
        <v>28800000</v>
      </c>
      <c r="J594">
        <v>6120000</v>
      </c>
      <c r="K594" t="s">
        <v>33</v>
      </c>
    </row>
    <row r="595" spans="1:11" x14ac:dyDescent="0.3">
      <c r="A595">
        <v>45520</v>
      </c>
      <c r="B595" t="s">
        <v>15</v>
      </c>
      <c r="C595" t="s">
        <v>14</v>
      </c>
      <c r="D595">
        <v>2</v>
      </c>
      <c r="E595">
        <v>18000000</v>
      </c>
      <c r="F595">
        <v>3</v>
      </c>
      <c r="G595">
        <v>3142800</v>
      </c>
      <c r="H595">
        <v>34920000</v>
      </c>
      <c r="I595">
        <v>28800000</v>
      </c>
      <c r="J595">
        <v>6120000</v>
      </c>
      <c r="K595" t="s">
        <v>33</v>
      </c>
    </row>
    <row r="596" spans="1:11" x14ac:dyDescent="0.3">
      <c r="A596">
        <v>45521</v>
      </c>
      <c r="B596" t="s">
        <v>16</v>
      </c>
      <c r="C596" t="s">
        <v>13</v>
      </c>
      <c r="D596">
        <v>3</v>
      </c>
      <c r="E596">
        <v>16000000</v>
      </c>
      <c r="F596">
        <v>5</v>
      </c>
      <c r="G596">
        <v>2736000</v>
      </c>
      <c r="H596">
        <v>45600000</v>
      </c>
      <c r="I596">
        <v>38400000</v>
      </c>
      <c r="J596">
        <v>7200000</v>
      </c>
      <c r="K596" t="s">
        <v>33</v>
      </c>
    </row>
    <row r="597" spans="1:11" x14ac:dyDescent="0.3">
      <c r="A597">
        <v>45522</v>
      </c>
      <c r="B597" t="s">
        <v>10</v>
      </c>
      <c r="C597" t="s">
        <v>11</v>
      </c>
      <c r="D597">
        <v>3</v>
      </c>
      <c r="E597">
        <v>9000000</v>
      </c>
      <c r="F597">
        <v>3</v>
      </c>
      <c r="G597">
        <v>1571400</v>
      </c>
      <c r="H597">
        <v>26190000</v>
      </c>
      <c r="I597">
        <v>21600000</v>
      </c>
      <c r="J597">
        <v>4590000</v>
      </c>
      <c r="K597" t="s">
        <v>33</v>
      </c>
    </row>
    <row r="598" spans="1:11" x14ac:dyDescent="0.3">
      <c r="A598">
        <v>45523</v>
      </c>
      <c r="B598" t="s">
        <v>19</v>
      </c>
      <c r="C598" t="s">
        <v>17</v>
      </c>
      <c r="D598">
        <v>2</v>
      </c>
      <c r="E598">
        <v>15000000</v>
      </c>
      <c r="F598">
        <v>4</v>
      </c>
      <c r="G598">
        <v>2592000</v>
      </c>
      <c r="H598">
        <v>28800000</v>
      </c>
      <c r="I598">
        <v>24000000</v>
      </c>
      <c r="J598">
        <v>4800000</v>
      </c>
      <c r="K598" t="s">
        <v>33</v>
      </c>
    </row>
    <row r="599" spans="1:11" x14ac:dyDescent="0.3">
      <c r="A599">
        <v>45524</v>
      </c>
      <c r="B599" t="s">
        <v>10</v>
      </c>
      <c r="C599" t="s">
        <v>11</v>
      </c>
      <c r="D599">
        <v>1</v>
      </c>
      <c r="E599">
        <v>9000000</v>
      </c>
      <c r="F599">
        <v>5</v>
      </c>
      <c r="G599">
        <v>1539000</v>
      </c>
      <c r="H599">
        <v>8550000</v>
      </c>
      <c r="I599">
        <v>7200000</v>
      </c>
      <c r="J599">
        <v>1350000</v>
      </c>
      <c r="K599" t="s">
        <v>33</v>
      </c>
    </row>
    <row r="600" spans="1:11" x14ac:dyDescent="0.3">
      <c r="A600">
        <v>45525</v>
      </c>
      <c r="B600" t="s">
        <v>19</v>
      </c>
      <c r="C600" t="s">
        <v>14</v>
      </c>
      <c r="D600">
        <v>3</v>
      </c>
      <c r="E600">
        <v>15000000</v>
      </c>
      <c r="F600">
        <v>2</v>
      </c>
      <c r="G600">
        <v>2646000</v>
      </c>
      <c r="H600">
        <v>44100000</v>
      </c>
      <c r="I600">
        <v>36000000</v>
      </c>
      <c r="J600">
        <v>8100000</v>
      </c>
      <c r="K600" t="s">
        <v>33</v>
      </c>
    </row>
    <row r="601" spans="1:11" x14ac:dyDescent="0.3">
      <c r="A601">
        <v>45526</v>
      </c>
      <c r="B601" t="s">
        <v>10</v>
      </c>
      <c r="C601" t="s">
        <v>14</v>
      </c>
      <c r="D601">
        <v>1</v>
      </c>
      <c r="E601">
        <v>9000000</v>
      </c>
      <c r="F601">
        <v>5</v>
      </c>
      <c r="G601">
        <v>1539000</v>
      </c>
      <c r="H601">
        <v>8550000</v>
      </c>
      <c r="I601">
        <v>7200000</v>
      </c>
      <c r="J601">
        <v>1350000</v>
      </c>
      <c r="K601" t="s">
        <v>33</v>
      </c>
    </row>
    <row r="602" spans="1:11" x14ac:dyDescent="0.3">
      <c r="A602">
        <v>45527</v>
      </c>
      <c r="B602" t="s">
        <v>16</v>
      </c>
      <c r="C602" t="s">
        <v>17</v>
      </c>
      <c r="D602">
        <v>3</v>
      </c>
      <c r="E602">
        <v>16000000</v>
      </c>
      <c r="F602">
        <v>3</v>
      </c>
      <c r="G602">
        <v>2793600</v>
      </c>
      <c r="H602">
        <v>46560000</v>
      </c>
      <c r="I602">
        <v>38400000</v>
      </c>
      <c r="J602">
        <v>8160000</v>
      </c>
      <c r="K602" t="s">
        <v>33</v>
      </c>
    </row>
    <row r="603" spans="1:11" x14ac:dyDescent="0.3">
      <c r="A603">
        <v>45528</v>
      </c>
      <c r="B603" t="s">
        <v>12</v>
      </c>
      <c r="C603" t="s">
        <v>11</v>
      </c>
      <c r="D603">
        <v>2</v>
      </c>
      <c r="E603">
        <v>17000000</v>
      </c>
      <c r="F603">
        <v>5</v>
      </c>
      <c r="G603">
        <v>2907000</v>
      </c>
      <c r="H603">
        <v>32300000</v>
      </c>
      <c r="I603">
        <v>27200000</v>
      </c>
      <c r="J603">
        <v>5100000</v>
      </c>
      <c r="K603" t="s">
        <v>33</v>
      </c>
    </row>
    <row r="604" spans="1:11" x14ac:dyDescent="0.3">
      <c r="A604">
        <v>45529</v>
      </c>
      <c r="B604" t="s">
        <v>10</v>
      </c>
      <c r="C604" t="s">
        <v>17</v>
      </c>
      <c r="D604">
        <v>1</v>
      </c>
      <c r="E604">
        <v>9000000</v>
      </c>
      <c r="F604">
        <v>2</v>
      </c>
      <c r="G604">
        <v>1587600</v>
      </c>
      <c r="H604">
        <v>8820000</v>
      </c>
      <c r="I604">
        <v>7200000</v>
      </c>
      <c r="J604">
        <v>1620000</v>
      </c>
      <c r="K604" t="s">
        <v>33</v>
      </c>
    </row>
    <row r="605" spans="1:11" x14ac:dyDescent="0.3">
      <c r="A605">
        <v>45530</v>
      </c>
      <c r="B605" t="s">
        <v>16</v>
      </c>
      <c r="C605" t="s">
        <v>18</v>
      </c>
      <c r="D605">
        <v>2</v>
      </c>
      <c r="E605">
        <v>16000000</v>
      </c>
      <c r="F605">
        <v>6</v>
      </c>
      <c r="G605">
        <v>2707200</v>
      </c>
      <c r="H605">
        <v>30080000</v>
      </c>
      <c r="I605">
        <v>25600000</v>
      </c>
      <c r="J605">
        <v>4480000</v>
      </c>
      <c r="K605" t="s">
        <v>33</v>
      </c>
    </row>
    <row r="606" spans="1:11" x14ac:dyDescent="0.3">
      <c r="A606">
        <v>45531</v>
      </c>
      <c r="B606" t="s">
        <v>16</v>
      </c>
      <c r="C606" t="s">
        <v>13</v>
      </c>
      <c r="D606">
        <v>4</v>
      </c>
      <c r="E606">
        <v>16000000</v>
      </c>
      <c r="F606">
        <v>6</v>
      </c>
      <c r="G606">
        <v>2707200</v>
      </c>
      <c r="H606">
        <v>60160000</v>
      </c>
      <c r="I606">
        <v>51200000</v>
      </c>
      <c r="J606">
        <v>8960000</v>
      </c>
      <c r="K606" t="s">
        <v>33</v>
      </c>
    </row>
    <row r="607" spans="1:11" x14ac:dyDescent="0.3">
      <c r="A607">
        <v>45532</v>
      </c>
      <c r="B607" t="s">
        <v>16</v>
      </c>
      <c r="C607" t="s">
        <v>17</v>
      </c>
      <c r="D607">
        <v>3</v>
      </c>
      <c r="E607">
        <v>16000000</v>
      </c>
      <c r="F607">
        <v>6</v>
      </c>
      <c r="G607">
        <v>2707200</v>
      </c>
      <c r="H607">
        <v>45120000</v>
      </c>
      <c r="I607">
        <v>38400000</v>
      </c>
      <c r="J607">
        <v>6720000</v>
      </c>
      <c r="K607" t="s">
        <v>33</v>
      </c>
    </row>
    <row r="608" spans="1:11" x14ac:dyDescent="0.3">
      <c r="A608">
        <v>45533</v>
      </c>
      <c r="B608" t="s">
        <v>19</v>
      </c>
      <c r="C608" t="s">
        <v>13</v>
      </c>
      <c r="D608">
        <v>3</v>
      </c>
      <c r="E608">
        <v>15000000</v>
      </c>
      <c r="F608">
        <v>4</v>
      </c>
      <c r="G608">
        <v>2592000</v>
      </c>
      <c r="H608">
        <v>43200000</v>
      </c>
      <c r="I608">
        <v>36000000</v>
      </c>
      <c r="J608">
        <v>7200000</v>
      </c>
      <c r="K608" t="s">
        <v>33</v>
      </c>
    </row>
    <row r="609" spans="1:11" x14ac:dyDescent="0.3">
      <c r="A609">
        <v>45534</v>
      </c>
      <c r="B609" t="s">
        <v>15</v>
      </c>
      <c r="C609" t="s">
        <v>13</v>
      </c>
      <c r="D609">
        <v>4</v>
      </c>
      <c r="E609">
        <v>18000000</v>
      </c>
      <c r="F609">
        <v>2</v>
      </c>
      <c r="G609">
        <v>3175200</v>
      </c>
      <c r="H609">
        <v>70560000</v>
      </c>
      <c r="I609">
        <v>57600000</v>
      </c>
      <c r="J609">
        <v>12960000</v>
      </c>
      <c r="K609" t="s">
        <v>33</v>
      </c>
    </row>
    <row r="610" spans="1:11" x14ac:dyDescent="0.3">
      <c r="A610">
        <v>45535</v>
      </c>
      <c r="B610" t="s">
        <v>15</v>
      </c>
      <c r="C610" t="s">
        <v>18</v>
      </c>
      <c r="D610">
        <v>2</v>
      </c>
      <c r="E610">
        <v>18000000</v>
      </c>
      <c r="F610">
        <v>2</v>
      </c>
      <c r="G610">
        <v>3175200</v>
      </c>
      <c r="H610">
        <v>35280000</v>
      </c>
      <c r="I610">
        <v>28800000</v>
      </c>
      <c r="J610">
        <v>6480000</v>
      </c>
      <c r="K610" t="s">
        <v>33</v>
      </c>
    </row>
    <row r="611" spans="1:11" x14ac:dyDescent="0.3">
      <c r="A611">
        <v>45536</v>
      </c>
      <c r="B611" t="s">
        <v>15</v>
      </c>
      <c r="C611" t="s">
        <v>13</v>
      </c>
      <c r="D611">
        <v>2</v>
      </c>
      <c r="E611">
        <v>18000000</v>
      </c>
      <c r="F611">
        <v>3</v>
      </c>
      <c r="G611">
        <v>3142800</v>
      </c>
      <c r="H611">
        <v>34920000</v>
      </c>
      <c r="I611">
        <v>28800000</v>
      </c>
      <c r="J611">
        <v>6120000</v>
      </c>
      <c r="K611" t="s">
        <v>34</v>
      </c>
    </row>
    <row r="612" spans="1:11" x14ac:dyDescent="0.3">
      <c r="A612">
        <v>45537</v>
      </c>
      <c r="B612" t="s">
        <v>16</v>
      </c>
      <c r="C612" t="s">
        <v>18</v>
      </c>
      <c r="D612">
        <v>2</v>
      </c>
      <c r="E612">
        <v>16000000</v>
      </c>
      <c r="F612">
        <v>3</v>
      </c>
      <c r="G612">
        <v>2793600</v>
      </c>
      <c r="H612">
        <v>31040000</v>
      </c>
      <c r="I612">
        <v>25600000</v>
      </c>
      <c r="J612">
        <v>5440000</v>
      </c>
      <c r="K612" t="s">
        <v>34</v>
      </c>
    </row>
    <row r="613" spans="1:11" x14ac:dyDescent="0.3">
      <c r="A613">
        <v>45538</v>
      </c>
      <c r="B613" t="s">
        <v>16</v>
      </c>
      <c r="C613" t="s">
        <v>14</v>
      </c>
      <c r="D613">
        <v>3</v>
      </c>
      <c r="E613">
        <v>16000000</v>
      </c>
      <c r="F613">
        <v>2</v>
      </c>
      <c r="G613">
        <v>2822400</v>
      </c>
      <c r="H613">
        <v>47040000</v>
      </c>
      <c r="I613">
        <v>38400000</v>
      </c>
      <c r="J613">
        <v>8640000</v>
      </c>
      <c r="K613" t="s">
        <v>34</v>
      </c>
    </row>
    <row r="614" spans="1:11" x14ac:dyDescent="0.3">
      <c r="A614">
        <v>45539</v>
      </c>
      <c r="B614" t="s">
        <v>16</v>
      </c>
      <c r="C614" t="s">
        <v>14</v>
      </c>
      <c r="D614">
        <v>2</v>
      </c>
      <c r="E614">
        <v>16000000</v>
      </c>
      <c r="F614">
        <v>4</v>
      </c>
      <c r="G614">
        <v>2764800</v>
      </c>
      <c r="H614">
        <v>30720000</v>
      </c>
      <c r="I614">
        <v>25600000</v>
      </c>
      <c r="J614">
        <v>5120000</v>
      </c>
      <c r="K614" t="s">
        <v>34</v>
      </c>
    </row>
    <row r="615" spans="1:11" x14ac:dyDescent="0.3">
      <c r="A615">
        <v>45540</v>
      </c>
      <c r="B615" t="s">
        <v>15</v>
      </c>
      <c r="C615" t="s">
        <v>17</v>
      </c>
      <c r="D615">
        <v>2</v>
      </c>
      <c r="E615">
        <v>18000000</v>
      </c>
      <c r="F615">
        <v>6</v>
      </c>
      <c r="G615">
        <v>3045600</v>
      </c>
      <c r="H615">
        <v>33840000</v>
      </c>
      <c r="I615">
        <v>28800000</v>
      </c>
      <c r="J615">
        <v>5040000</v>
      </c>
      <c r="K615" t="s">
        <v>34</v>
      </c>
    </row>
    <row r="616" spans="1:11" x14ac:dyDescent="0.3">
      <c r="A616">
        <v>45541</v>
      </c>
      <c r="B616" t="s">
        <v>10</v>
      </c>
      <c r="C616" t="s">
        <v>13</v>
      </c>
      <c r="D616">
        <v>2</v>
      </c>
      <c r="E616">
        <v>9000000</v>
      </c>
      <c r="F616">
        <v>6</v>
      </c>
      <c r="G616">
        <v>1522800</v>
      </c>
      <c r="H616">
        <v>16920000</v>
      </c>
      <c r="I616">
        <v>14400000</v>
      </c>
      <c r="J616">
        <v>2520000</v>
      </c>
      <c r="K616" t="s">
        <v>34</v>
      </c>
    </row>
    <row r="617" spans="1:11" x14ac:dyDescent="0.3">
      <c r="A617">
        <v>45542</v>
      </c>
      <c r="B617" t="s">
        <v>12</v>
      </c>
      <c r="C617" t="s">
        <v>17</v>
      </c>
      <c r="D617">
        <v>2</v>
      </c>
      <c r="E617">
        <v>17000000</v>
      </c>
      <c r="F617">
        <v>2</v>
      </c>
      <c r="G617">
        <v>2998800</v>
      </c>
      <c r="H617">
        <v>33320000</v>
      </c>
      <c r="I617">
        <v>27200000</v>
      </c>
      <c r="J617">
        <v>6120000</v>
      </c>
      <c r="K617" t="s">
        <v>34</v>
      </c>
    </row>
    <row r="618" spans="1:11" x14ac:dyDescent="0.3">
      <c r="A618">
        <v>45543</v>
      </c>
      <c r="B618" t="s">
        <v>19</v>
      </c>
      <c r="C618" t="s">
        <v>18</v>
      </c>
      <c r="D618">
        <v>1</v>
      </c>
      <c r="E618">
        <v>15000000</v>
      </c>
      <c r="F618">
        <v>5</v>
      </c>
      <c r="G618">
        <v>2565000</v>
      </c>
      <c r="H618">
        <v>14250000</v>
      </c>
      <c r="I618">
        <v>12000000</v>
      </c>
      <c r="J618">
        <v>2250000</v>
      </c>
      <c r="K618" t="s">
        <v>34</v>
      </c>
    </row>
    <row r="619" spans="1:11" x14ac:dyDescent="0.3">
      <c r="A619">
        <v>45544</v>
      </c>
      <c r="B619" t="s">
        <v>12</v>
      </c>
      <c r="C619" t="s">
        <v>18</v>
      </c>
      <c r="D619">
        <v>4</v>
      </c>
      <c r="E619">
        <v>17000000</v>
      </c>
      <c r="F619">
        <v>5</v>
      </c>
      <c r="G619">
        <v>2907000</v>
      </c>
      <c r="H619">
        <v>64600000</v>
      </c>
      <c r="I619">
        <v>54400000</v>
      </c>
      <c r="J619">
        <v>10200000</v>
      </c>
      <c r="K619" t="s">
        <v>34</v>
      </c>
    </row>
    <row r="620" spans="1:11" x14ac:dyDescent="0.3">
      <c r="A620">
        <v>45545</v>
      </c>
      <c r="B620" t="s">
        <v>15</v>
      </c>
      <c r="C620" t="s">
        <v>14</v>
      </c>
      <c r="D620">
        <v>4</v>
      </c>
      <c r="E620">
        <v>18000000</v>
      </c>
      <c r="F620">
        <v>2</v>
      </c>
      <c r="G620">
        <v>3175200</v>
      </c>
      <c r="H620">
        <v>70560000</v>
      </c>
      <c r="I620">
        <v>57600000</v>
      </c>
      <c r="J620">
        <v>12960000</v>
      </c>
      <c r="K620" t="s">
        <v>34</v>
      </c>
    </row>
    <row r="621" spans="1:11" x14ac:dyDescent="0.3">
      <c r="A621">
        <v>45546</v>
      </c>
      <c r="B621" t="s">
        <v>15</v>
      </c>
      <c r="C621" t="s">
        <v>17</v>
      </c>
      <c r="D621">
        <v>1</v>
      </c>
      <c r="E621">
        <v>18000000</v>
      </c>
      <c r="F621">
        <v>3</v>
      </c>
      <c r="G621">
        <v>3142800</v>
      </c>
      <c r="H621">
        <v>17460000</v>
      </c>
      <c r="I621">
        <v>14400000</v>
      </c>
      <c r="J621">
        <v>3060000</v>
      </c>
      <c r="K621" t="s">
        <v>34</v>
      </c>
    </row>
    <row r="622" spans="1:11" x14ac:dyDescent="0.3">
      <c r="A622">
        <v>45547</v>
      </c>
      <c r="B622" t="s">
        <v>10</v>
      </c>
      <c r="C622" t="s">
        <v>11</v>
      </c>
      <c r="D622">
        <v>4</v>
      </c>
      <c r="E622">
        <v>9000000</v>
      </c>
      <c r="F622">
        <v>4</v>
      </c>
      <c r="G622">
        <v>1555200</v>
      </c>
      <c r="H622">
        <v>34560000</v>
      </c>
      <c r="I622">
        <v>28800000</v>
      </c>
      <c r="J622">
        <v>5760000</v>
      </c>
      <c r="K622" t="s">
        <v>34</v>
      </c>
    </row>
    <row r="623" spans="1:11" x14ac:dyDescent="0.3">
      <c r="A623">
        <v>45548</v>
      </c>
      <c r="B623" t="s">
        <v>10</v>
      </c>
      <c r="C623" t="s">
        <v>14</v>
      </c>
      <c r="D623">
        <v>4</v>
      </c>
      <c r="E623">
        <v>9000000</v>
      </c>
      <c r="F623">
        <v>4</v>
      </c>
      <c r="G623">
        <v>1555200</v>
      </c>
      <c r="H623">
        <v>34560000</v>
      </c>
      <c r="I623">
        <v>28800000</v>
      </c>
      <c r="J623">
        <v>5760000</v>
      </c>
      <c r="K623" t="s">
        <v>34</v>
      </c>
    </row>
    <row r="624" spans="1:11" x14ac:dyDescent="0.3">
      <c r="A624">
        <v>45549</v>
      </c>
      <c r="B624" t="s">
        <v>10</v>
      </c>
      <c r="C624" t="s">
        <v>13</v>
      </c>
      <c r="D624">
        <v>3</v>
      </c>
      <c r="E624">
        <v>9000000</v>
      </c>
      <c r="F624">
        <v>4</v>
      </c>
      <c r="G624">
        <v>1555200</v>
      </c>
      <c r="H624">
        <v>25920000</v>
      </c>
      <c r="I624">
        <v>21600000</v>
      </c>
      <c r="J624">
        <v>4320000</v>
      </c>
      <c r="K624" t="s">
        <v>34</v>
      </c>
    </row>
    <row r="625" spans="1:11" x14ac:dyDescent="0.3">
      <c r="A625">
        <v>45550</v>
      </c>
      <c r="B625" t="s">
        <v>19</v>
      </c>
      <c r="C625" t="s">
        <v>18</v>
      </c>
      <c r="D625">
        <v>4</v>
      </c>
      <c r="E625">
        <v>15000000</v>
      </c>
      <c r="F625">
        <v>2</v>
      </c>
      <c r="G625">
        <v>2646000</v>
      </c>
      <c r="H625">
        <v>58800000</v>
      </c>
      <c r="I625">
        <v>48000000</v>
      </c>
      <c r="J625">
        <v>10800000</v>
      </c>
      <c r="K625" t="s">
        <v>34</v>
      </c>
    </row>
    <row r="626" spans="1:11" x14ac:dyDescent="0.3">
      <c r="A626">
        <v>45551</v>
      </c>
      <c r="B626" t="s">
        <v>15</v>
      </c>
      <c r="C626" t="s">
        <v>11</v>
      </c>
      <c r="D626">
        <v>1</v>
      </c>
      <c r="E626">
        <v>18000000</v>
      </c>
      <c r="F626">
        <v>2</v>
      </c>
      <c r="G626">
        <v>3175200</v>
      </c>
      <c r="H626">
        <v>17640000</v>
      </c>
      <c r="I626">
        <v>14400000</v>
      </c>
      <c r="J626">
        <v>3240000</v>
      </c>
      <c r="K626" t="s">
        <v>34</v>
      </c>
    </row>
    <row r="627" spans="1:11" x14ac:dyDescent="0.3">
      <c r="A627">
        <v>45552</v>
      </c>
      <c r="B627" t="s">
        <v>16</v>
      </c>
      <c r="C627" t="s">
        <v>14</v>
      </c>
      <c r="D627">
        <v>2</v>
      </c>
      <c r="E627">
        <v>16000000</v>
      </c>
      <c r="F627">
        <v>4</v>
      </c>
      <c r="G627">
        <v>2764800</v>
      </c>
      <c r="H627">
        <v>30720000</v>
      </c>
      <c r="I627">
        <v>25600000</v>
      </c>
      <c r="J627">
        <v>5120000</v>
      </c>
      <c r="K627" t="s">
        <v>34</v>
      </c>
    </row>
    <row r="628" spans="1:11" x14ac:dyDescent="0.3">
      <c r="A628">
        <v>45553</v>
      </c>
      <c r="B628" t="s">
        <v>19</v>
      </c>
      <c r="C628" t="s">
        <v>18</v>
      </c>
      <c r="D628">
        <v>2</v>
      </c>
      <c r="E628">
        <v>15000000</v>
      </c>
      <c r="F628">
        <v>4</v>
      </c>
      <c r="G628">
        <v>2592000</v>
      </c>
      <c r="H628">
        <v>28800000</v>
      </c>
      <c r="I628">
        <v>24000000</v>
      </c>
      <c r="J628">
        <v>4800000</v>
      </c>
      <c r="K628" t="s">
        <v>34</v>
      </c>
    </row>
    <row r="629" spans="1:11" x14ac:dyDescent="0.3">
      <c r="A629">
        <v>45554</v>
      </c>
      <c r="B629" t="s">
        <v>15</v>
      </c>
      <c r="C629" t="s">
        <v>17</v>
      </c>
      <c r="D629">
        <v>1</v>
      </c>
      <c r="E629">
        <v>18000000</v>
      </c>
      <c r="F629">
        <v>2</v>
      </c>
      <c r="G629">
        <v>3175200</v>
      </c>
      <c r="H629">
        <v>17640000</v>
      </c>
      <c r="I629">
        <v>14400000</v>
      </c>
      <c r="J629">
        <v>3240000</v>
      </c>
      <c r="K629" t="s">
        <v>34</v>
      </c>
    </row>
    <row r="630" spans="1:11" x14ac:dyDescent="0.3">
      <c r="A630">
        <v>45555</v>
      </c>
      <c r="B630" t="s">
        <v>10</v>
      </c>
      <c r="C630" t="s">
        <v>18</v>
      </c>
      <c r="D630">
        <v>1</v>
      </c>
      <c r="E630">
        <v>9000000</v>
      </c>
      <c r="F630">
        <v>2</v>
      </c>
      <c r="G630">
        <v>1587600</v>
      </c>
      <c r="H630">
        <v>8820000</v>
      </c>
      <c r="I630">
        <v>7200000</v>
      </c>
      <c r="J630">
        <v>1620000</v>
      </c>
      <c r="K630" t="s">
        <v>34</v>
      </c>
    </row>
    <row r="631" spans="1:11" x14ac:dyDescent="0.3">
      <c r="A631">
        <v>45556</v>
      </c>
      <c r="B631" t="s">
        <v>12</v>
      </c>
      <c r="C631" t="s">
        <v>14</v>
      </c>
      <c r="D631">
        <v>1</v>
      </c>
      <c r="E631">
        <v>17000000</v>
      </c>
      <c r="F631">
        <v>2</v>
      </c>
      <c r="G631">
        <v>2998800</v>
      </c>
      <c r="H631">
        <v>16660000</v>
      </c>
      <c r="I631">
        <v>13600000</v>
      </c>
      <c r="J631">
        <v>3060000</v>
      </c>
      <c r="K631" t="s">
        <v>34</v>
      </c>
    </row>
    <row r="632" spans="1:11" x14ac:dyDescent="0.3">
      <c r="A632">
        <v>45557</v>
      </c>
      <c r="B632" t="s">
        <v>16</v>
      </c>
      <c r="C632" t="s">
        <v>14</v>
      </c>
      <c r="D632">
        <v>4</v>
      </c>
      <c r="E632">
        <v>16000000</v>
      </c>
      <c r="F632">
        <v>6</v>
      </c>
      <c r="G632">
        <v>2707200</v>
      </c>
      <c r="H632">
        <v>60160000</v>
      </c>
      <c r="I632">
        <v>51200000</v>
      </c>
      <c r="J632">
        <v>8960000</v>
      </c>
      <c r="K632" t="s">
        <v>34</v>
      </c>
    </row>
    <row r="633" spans="1:11" x14ac:dyDescent="0.3">
      <c r="A633">
        <v>45558</v>
      </c>
      <c r="B633" t="s">
        <v>12</v>
      </c>
      <c r="C633" t="s">
        <v>17</v>
      </c>
      <c r="D633">
        <v>4</v>
      </c>
      <c r="E633">
        <v>17000000</v>
      </c>
      <c r="F633">
        <v>3</v>
      </c>
      <c r="G633">
        <v>2968200</v>
      </c>
      <c r="H633">
        <v>65960000</v>
      </c>
      <c r="I633">
        <v>54400000</v>
      </c>
      <c r="J633">
        <v>11560000</v>
      </c>
      <c r="K633" t="s">
        <v>34</v>
      </c>
    </row>
    <row r="634" spans="1:11" x14ac:dyDescent="0.3">
      <c r="A634">
        <v>45559</v>
      </c>
      <c r="B634" t="s">
        <v>15</v>
      </c>
      <c r="C634" t="s">
        <v>13</v>
      </c>
      <c r="D634">
        <v>3</v>
      </c>
      <c r="E634">
        <v>18000000</v>
      </c>
      <c r="F634">
        <v>3</v>
      </c>
      <c r="G634">
        <v>3142800</v>
      </c>
      <c r="H634">
        <v>52380000</v>
      </c>
      <c r="I634">
        <v>43200000</v>
      </c>
      <c r="J634">
        <v>9180000</v>
      </c>
      <c r="K634" t="s">
        <v>34</v>
      </c>
    </row>
    <row r="635" spans="1:11" x14ac:dyDescent="0.3">
      <c r="A635">
        <v>45560</v>
      </c>
      <c r="B635" t="s">
        <v>10</v>
      </c>
      <c r="C635" t="s">
        <v>13</v>
      </c>
      <c r="D635">
        <v>1</v>
      </c>
      <c r="E635">
        <v>9000000</v>
      </c>
      <c r="F635">
        <v>4</v>
      </c>
      <c r="G635">
        <v>1555200</v>
      </c>
      <c r="H635">
        <v>8640000</v>
      </c>
      <c r="I635">
        <v>7200000</v>
      </c>
      <c r="J635">
        <v>1440000</v>
      </c>
      <c r="K635" t="s">
        <v>34</v>
      </c>
    </row>
    <row r="636" spans="1:11" x14ac:dyDescent="0.3">
      <c r="A636">
        <v>45561</v>
      </c>
      <c r="B636" t="s">
        <v>12</v>
      </c>
      <c r="C636" t="s">
        <v>17</v>
      </c>
      <c r="D636">
        <v>3</v>
      </c>
      <c r="E636">
        <v>17000000</v>
      </c>
      <c r="F636">
        <v>5</v>
      </c>
      <c r="G636">
        <v>2907000</v>
      </c>
      <c r="H636">
        <v>48450000</v>
      </c>
      <c r="I636">
        <v>40800000</v>
      </c>
      <c r="J636">
        <v>7650000</v>
      </c>
      <c r="K636" t="s">
        <v>34</v>
      </c>
    </row>
    <row r="637" spans="1:11" x14ac:dyDescent="0.3">
      <c r="A637">
        <v>45562</v>
      </c>
      <c r="B637" t="s">
        <v>12</v>
      </c>
      <c r="C637" t="s">
        <v>18</v>
      </c>
      <c r="D637">
        <v>3</v>
      </c>
      <c r="E637">
        <v>17000000</v>
      </c>
      <c r="F637">
        <v>2</v>
      </c>
      <c r="G637">
        <v>2998800</v>
      </c>
      <c r="H637">
        <v>49980000</v>
      </c>
      <c r="I637">
        <v>40800000</v>
      </c>
      <c r="J637">
        <v>9180000</v>
      </c>
      <c r="K637" t="s">
        <v>34</v>
      </c>
    </row>
    <row r="638" spans="1:11" x14ac:dyDescent="0.3">
      <c r="A638">
        <v>45563</v>
      </c>
      <c r="B638" t="s">
        <v>12</v>
      </c>
      <c r="C638" t="s">
        <v>18</v>
      </c>
      <c r="D638">
        <v>3</v>
      </c>
      <c r="E638">
        <v>17000000</v>
      </c>
      <c r="F638">
        <v>4</v>
      </c>
      <c r="G638">
        <v>2937600</v>
      </c>
      <c r="H638">
        <v>48960000</v>
      </c>
      <c r="I638">
        <v>40800000</v>
      </c>
      <c r="J638">
        <v>8160000</v>
      </c>
      <c r="K638" t="s">
        <v>34</v>
      </c>
    </row>
    <row r="639" spans="1:11" x14ac:dyDescent="0.3">
      <c r="A639">
        <v>45564</v>
      </c>
      <c r="B639" t="s">
        <v>10</v>
      </c>
      <c r="C639" t="s">
        <v>13</v>
      </c>
      <c r="D639">
        <v>1</v>
      </c>
      <c r="E639">
        <v>9000000</v>
      </c>
      <c r="F639">
        <v>6</v>
      </c>
      <c r="G639">
        <v>1522800</v>
      </c>
      <c r="H639">
        <v>8460000</v>
      </c>
      <c r="I639">
        <v>7200000</v>
      </c>
      <c r="J639">
        <v>1260000</v>
      </c>
      <c r="K639" t="s">
        <v>34</v>
      </c>
    </row>
    <row r="640" spans="1:11" x14ac:dyDescent="0.3">
      <c r="A640">
        <v>45565</v>
      </c>
      <c r="B640" t="s">
        <v>15</v>
      </c>
      <c r="C640" t="s">
        <v>14</v>
      </c>
      <c r="D640">
        <v>3</v>
      </c>
      <c r="E640">
        <v>18000000</v>
      </c>
      <c r="F640">
        <v>6</v>
      </c>
      <c r="G640">
        <v>3045600</v>
      </c>
      <c r="H640">
        <v>50760000</v>
      </c>
      <c r="I640">
        <v>43200000</v>
      </c>
      <c r="J640">
        <v>7560000</v>
      </c>
      <c r="K640" t="s">
        <v>34</v>
      </c>
    </row>
    <row r="641" spans="1:11" x14ac:dyDescent="0.3">
      <c r="A641">
        <v>45566</v>
      </c>
      <c r="B641" t="s">
        <v>16</v>
      </c>
      <c r="C641" t="s">
        <v>18</v>
      </c>
      <c r="D641">
        <v>3</v>
      </c>
      <c r="E641">
        <v>16000000</v>
      </c>
      <c r="F641">
        <v>5</v>
      </c>
      <c r="G641">
        <v>2736000</v>
      </c>
      <c r="H641">
        <v>45600000</v>
      </c>
      <c r="I641">
        <v>38400000</v>
      </c>
      <c r="J641">
        <v>7200000</v>
      </c>
      <c r="K641" t="s">
        <v>35</v>
      </c>
    </row>
    <row r="642" spans="1:11" x14ac:dyDescent="0.3">
      <c r="A642">
        <v>45567</v>
      </c>
      <c r="B642" t="s">
        <v>16</v>
      </c>
      <c r="C642" t="s">
        <v>14</v>
      </c>
      <c r="D642">
        <v>3</v>
      </c>
      <c r="E642">
        <v>16000000</v>
      </c>
      <c r="F642">
        <v>4</v>
      </c>
      <c r="G642">
        <v>2764800</v>
      </c>
      <c r="H642">
        <v>46080000</v>
      </c>
      <c r="I642">
        <v>38400000</v>
      </c>
      <c r="J642">
        <v>7680000</v>
      </c>
      <c r="K642" t="s">
        <v>35</v>
      </c>
    </row>
    <row r="643" spans="1:11" x14ac:dyDescent="0.3">
      <c r="A643">
        <v>45568</v>
      </c>
      <c r="B643" t="s">
        <v>10</v>
      </c>
      <c r="C643" t="s">
        <v>18</v>
      </c>
      <c r="D643">
        <v>2</v>
      </c>
      <c r="E643">
        <v>9000000</v>
      </c>
      <c r="F643">
        <v>6</v>
      </c>
      <c r="G643">
        <v>1522800</v>
      </c>
      <c r="H643">
        <v>16920000</v>
      </c>
      <c r="I643">
        <v>14400000</v>
      </c>
      <c r="J643">
        <v>2520000</v>
      </c>
      <c r="K643" t="s">
        <v>35</v>
      </c>
    </row>
    <row r="644" spans="1:11" x14ac:dyDescent="0.3">
      <c r="A644">
        <v>45569</v>
      </c>
      <c r="B644" t="s">
        <v>19</v>
      </c>
      <c r="C644" t="s">
        <v>13</v>
      </c>
      <c r="D644">
        <v>2</v>
      </c>
      <c r="E644">
        <v>15000000</v>
      </c>
      <c r="F644">
        <v>2</v>
      </c>
      <c r="G644">
        <v>2646000</v>
      </c>
      <c r="H644">
        <v>29400000</v>
      </c>
      <c r="I644">
        <v>24000000</v>
      </c>
      <c r="J644">
        <v>5400000</v>
      </c>
      <c r="K644" t="s">
        <v>35</v>
      </c>
    </row>
    <row r="645" spans="1:11" x14ac:dyDescent="0.3">
      <c r="A645">
        <v>45570</v>
      </c>
      <c r="B645" t="s">
        <v>16</v>
      </c>
      <c r="C645" t="s">
        <v>11</v>
      </c>
      <c r="D645">
        <v>3</v>
      </c>
      <c r="E645">
        <v>16000000</v>
      </c>
      <c r="F645">
        <v>3</v>
      </c>
      <c r="G645">
        <v>2793600</v>
      </c>
      <c r="H645">
        <v>46560000</v>
      </c>
      <c r="I645">
        <v>38400000</v>
      </c>
      <c r="J645">
        <v>8160000</v>
      </c>
      <c r="K645" t="s">
        <v>35</v>
      </c>
    </row>
    <row r="646" spans="1:11" x14ac:dyDescent="0.3">
      <c r="A646">
        <v>45571</v>
      </c>
      <c r="B646" t="s">
        <v>19</v>
      </c>
      <c r="C646" t="s">
        <v>14</v>
      </c>
      <c r="D646">
        <v>3</v>
      </c>
      <c r="E646">
        <v>15000000</v>
      </c>
      <c r="F646">
        <v>5</v>
      </c>
      <c r="G646">
        <v>2565000</v>
      </c>
      <c r="H646">
        <v>42750000</v>
      </c>
      <c r="I646">
        <v>36000000</v>
      </c>
      <c r="J646">
        <v>6750000</v>
      </c>
      <c r="K646" t="s">
        <v>35</v>
      </c>
    </row>
    <row r="647" spans="1:11" x14ac:dyDescent="0.3">
      <c r="A647">
        <v>45572</v>
      </c>
      <c r="B647" t="s">
        <v>12</v>
      </c>
      <c r="C647" t="s">
        <v>13</v>
      </c>
      <c r="D647">
        <v>4</v>
      </c>
      <c r="E647">
        <v>17000000</v>
      </c>
      <c r="F647">
        <v>5</v>
      </c>
      <c r="G647">
        <v>2907000</v>
      </c>
      <c r="H647">
        <v>64600000</v>
      </c>
      <c r="I647">
        <v>54400000</v>
      </c>
      <c r="J647">
        <v>10200000</v>
      </c>
      <c r="K647" t="s">
        <v>35</v>
      </c>
    </row>
    <row r="648" spans="1:11" x14ac:dyDescent="0.3">
      <c r="A648">
        <v>45573</v>
      </c>
      <c r="B648" t="s">
        <v>15</v>
      </c>
      <c r="C648" t="s">
        <v>18</v>
      </c>
      <c r="D648">
        <v>3</v>
      </c>
      <c r="E648">
        <v>18000000</v>
      </c>
      <c r="F648">
        <v>4</v>
      </c>
      <c r="G648">
        <v>3110400</v>
      </c>
      <c r="H648">
        <v>51840000</v>
      </c>
      <c r="I648">
        <v>43200000</v>
      </c>
      <c r="J648">
        <v>8640000</v>
      </c>
      <c r="K648" t="s">
        <v>35</v>
      </c>
    </row>
    <row r="649" spans="1:11" x14ac:dyDescent="0.3">
      <c r="A649">
        <v>45574</v>
      </c>
      <c r="B649" t="s">
        <v>12</v>
      </c>
      <c r="C649" t="s">
        <v>17</v>
      </c>
      <c r="D649">
        <v>3</v>
      </c>
      <c r="E649">
        <v>17000000</v>
      </c>
      <c r="F649">
        <v>2</v>
      </c>
      <c r="G649">
        <v>2998800</v>
      </c>
      <c r="H649">
        <v>49980000</v>
      </c>
      <c r="I649">
        <v>40800000</v>
      </c>
      <c r="J649">
        <v>9180000</v>
      </c>
      <c r="K649" t="s">
        <v>35</v>
      </c>
    </row>
    <row r="650" spans="1:11" x14ac:dyDescent="0.3">
      <c r="A650">
        <v>45575</v>
      </c>
      <c r="B650" t="s">
        <v>15</v>
      </c>
      <c r="C650" t="s">
        <v>14</v>
      </c>
      <c r="D650">
        <v>1</v>
      </c>
      <c r="E650">
        <v>18000000</v>
      </c>
      <c r="F650">
        <v>5</v>
      </c>
      <c r="G650">
        <v>3078000</v>
      </c>
      <c r="H650">
        <v>17100000</v>
      </c>
      <c r="I650">
        <v>14400000</v>
      </c>
      <c r="J650">
        <v>2700000</v>
      </c>
      <c r="K650" t="s">
        <v>35</v>
      </c>
    </row>
    <row r="651" spans="1:11" x14ac:dyDescent="0.3">
      <c r="A651">
        <v>45576</v>
      </c>
      <c r="B651" t="s">
        <v>12</v>
      </c>
      <c r="C651" t="s">
        <v>17</v>
      </c>
      <c r="D651">
        <v>2</v>
      </c>
      <c r="E651">
        <v>17000000</v>
      </c>
      <c r="F651">
        <v>2</v>
      </c>
      <c r="G651">
        <v>2998800</v>
      </c>
      <c r="H651">
        <v>33320000</v>
      </c>
      <c r="I651">
        <v>27200000</v>
      </c>
      <c r="J651">
        <v>6120000</v>
      </c>
      <c r="K651" t="s">
        <v>35</v>
      </c>
    </row>
    <row r="652" spans="1:11" x14ac:dyDescent="0.3">
      <c r="A652">
        <v>45577</v>
      </c>
      <c r="B652" t="s">
        <v>19</v>
      </c>
      <c r="C652" t="s">
        <v>11</v>
      </c>
      <c r="D652">
        <v>4</v>
      </c>
      <c r="E652">
        <v>15000000</v>
      </c>
      <c r="F652">
        <v>2</v>
      </c>
      <c r="G652">
        <v>2646000</v>
      </c>
      <c r="H652">
        <v>58800000</v>
      </c>
      <c r="I652">
        <v>48000000</v>
      </c>
      <c r="J652">
        <v>10800000</v>
      </c>
      <c r="K652" t="s">
        <v>35</v>
      </c>
    </row>
    <row r="653" spans="1:11" x14ac:dyDescent="0.3">
      <c r="A653">
        <v>45578</v>
      </c>
      <c r="B653" t="s">
        <v>12</v>
      </c>
      <c r="C653" t="s">
        <v>11</v>
      </c>
      <c r="D653">
        <v>2</v>
      </c>
      <c r="E653">
        <v>17000000</v>
      </c>
      <c r="F653">
        <v>6</v>
      </c>
      <c r="G653">
        <v>2876400</v>
      </c>
      <c r="H653">
        <v>31960000</v>
      </c>
      <c r="I653">
        <v>27200000</v>
      </c>
      <c r="J653">
        <v>4760000</v>
      </c>
      <c r="K653" t="s">
        <v>35</v>
      </c>
    </row>
    <row r="654" spans="1:11" x14ac:dyDescent="0.3">
      <c r="A654">
        <v>45579</v>
      </c>
      <c r="B654" t="s">
        <v>15</v>
      </c>
      <c r="C654" t="s">
        <v>17</v>
      </c>
      <c r="D654">
        <v>3</v>
      </c>
      <c r="E654">
        <v>18000000</v>
      </c>
      <c r="F654">
        <v>5</v>
      </c>
      <c r="G654">
        <v>3078000</v>
      </c>
      <c r="H654">
        <v>51300000</v>
      </c>
      <c r="I654">
        <v>43200000</v>
      </c>
      <c r="J654">
        <v>8100000</v>
      </c>
      <c r="K654" t="s">
        <v>35</v>
      </c>
    </row>
    <row r="655" spans="1:11" x14ac:dyDescent="0.3">
      <c r="A655">
        <v>45580</v>
      </c>
      <c r="B655" t="s">
        <v>10</v>
      </c>
      <c r="C655" t="s">
        <v>13</v>
      </c>
      <c r="D655">
        <v>4</v>
      </c>
      <c r="E655">
        <v>9000000</v>
      </c>
      <c r="F655">
        <v>5</v>
      </c>
      <c r="G655">
        <v>1539000</v>
      </c>
      <c r="H655">
        <v>34200000</v>
      </c>
      <c r="I655">
        <v>28800000</v>
      </c>
      <c r="J655">
        <v>5400000</v>
      </c>
      <c r="K655" t="s">
        <v>35</v>
      </c>
    </row>
    <row r="656" spans="1:11" x14ac:dyDescent="0.3">
      <c r="A656">
        <v>45581</v>
      </c>
      <c r="B656" t="s">
        <v>12</v>
      </c>
      <c r="C656" t="s">
        <v>13</v>
      </c>
      <c r="D656">
        <v>4</v>
      </c>
      <c r="E656">
        <v>17000000</v>
      </c>
      <c r="F656">
        <v>4</v>
      </c>
      <c r="G656">
        <v>2937600</v>
      </c>
      <c r="H656">
        <v>65280000</v>
      </c>
      <c r="I656">
        <v>54400000</v>
      </c>
      <c r="J656">
        <v>10880000</v>
      </c>
      <c r="K656" t="s">
        <v>35</v>
      </c>
    </row>
    <row r="657" spans="1:11" x14ac:dyDescent="0.3">
      <c r="A657">
        <v>45582</v>
      </c>
      <c r="B657" t="s">
        <v>15</v>
      </c>
      <c r="C657" t="s">
        <v>11</v>
      </c>
      <c r="D657">
        <v>1</v>
      </c>
      <c r="E657">
        <v>18000000</v>
      </c>
      <c r="F657">
        <v>4</v>
      </c>
      <c r="G657">
        <v>3110400</v>
      </c>
      <c r="H657">
        <v>17280000</v>
      </c>
      <c r="I657">
        <v>14400000</v>
      </c>
      <c r="J657">
        <v>2880000</v>
      </c>
      <c r="K657" t="s">
        <v>35</v>
      </c>
    </row>
    <row r="658" spans="1:11" x14ac:dyDescent="0.3">
      <c r="A658">
        <v>45583</v>
      </c>
      <c r="B658" t="s">
        <v>10</v>
      </c>
      <c r="C658" t="s">
        <v>17</v>
      </c>
      <c r="D658">
        <v>4</v>
      </c>
      <c r="E658">
        <v>9000000</v>
      </c>
      <c r="F658">
        <v>3</v>
      </c>
      <c r="G658">
        <v>1571400</v>
      </c>
      <c r="H658">
        <v>34920000</v>
      </c>
      <c r="I658">
        <v>28800000</v>
      </c>
      <c r="J658">
        <v>6120000</v>
      </c>
      <c r="K658" t="s">
        <v>35</v>
      </c>
    </row>
    <row r="659" spans="1:11" x14ac:dyDescent="0.3">
      <c r="A659">
        <v>45584</v>
      </c>
      <c r="B659" t="s">
        <v>12</v>
      </c>
      <c r="C659" t="s">
        <v>14</v>
      </c>
      <c r="D659">
        <v>3</v>
      </c>
      <c r="E659">
        <v>17000000</v>
      </c>
      <c r="F659">
        <v>2</v>
      </c>
      <c r="G659">
        <v>2998800</v>
      </c>
      <c r="H659">
        <v>49980000</v>
      </c>
      <c r="I659">
        <v>40800000</v>
      </c>
      <c r="J659">
        <v>9180000</v>
      </c>
      <c r="K659" t="s">
        <v>35</v>
      </c>
    </row>
    <row r="660" spans="1:11" x14ac:dyDescent="0.3">
      <c r="A660">
        <v>45585</v>
      </c>
      <c r="B660" t="s">
        <v>16</v>
      </c>
      <c r="C660" t="s">
        <v>18</v>
      </c>
      <c r="D660">
        <v>2</v>
      </c>
      <c r="E660">
        <v>16000000</v>
      </c>
      <c r="F660">
        <v>2</v>
      </c>
      <c r="G660">
        <v>2822400</v>
      </c>
      <c r="H660">
        <v>31360000</v>
      </c>
      <c r="I660">
        <v>25600000</v>
      </c>
      <c r="J660">
        <v>5760000</v>
      </c>
      <c r="K660" t="s">
        <v>35</v>
      </c>
    </row>
    <row r="661" spans="1:11" x14ac:dyDescent="0.3">
      <c r="A661">
        <v>45586</v>
      </c>
      <c r="B661" t="s">
        <v>12</v>
      </c>
      <c r="C661" t="s">
        <v>14</v>
      </c>
      <c r="D661">
        <v>1</v>
      </c>
      <c r="E661">
        <v>17000000</v>
      </c>
      <c r="F661">
        <v>6</v>
      </c>
      <c r="G661">
        <v>2876400</v>
      </c>
      <c r="H661">
        <v>15980000</v>
      </c>
      <c r="I661">
        <v>13600000</v>
      </c>
      <c r="J661">
        <v>2380000</v>
      </c>
      <c r="K661" t="s">
        <v>35</v>
      </c>
    </row>
    <row r="662" spans="1:11" x14ac:dyDescent="0.3">
      <c r="A662">
        <v>45587</v>
      </c>
      <c r="B662" t="s">
        <v>16</v>
      </c>
      <c r="C662" t="s">
        <v>11</v>
      </c>
      <c r="D662">
        <v>2</v>
      </c>
      <c r="E662">
        <v>16000000</v>
      </c>
      <c r="F662">
        <v>6</v>
      </c>
      <c r="G662">
        <v>2707200</v>
      </c>
      <c r="H662">
        <v>30080000</v>
      </c>
      <c r="I662">
        <v>25600000</v>
      </c>
      <c r="J662">
        <v>4480000</v>
      </c>
      <c r="K662" t="s">
        <v>35</v>
      </c>
    </row>
    <row r="663" spans="1:11" x14ac:dyDescent="0.3">
      <c r="A663">
        <v>45588</v>
      </c>
      <c r="B663" t="s">
        <v>15</v>
      </c>
      <c r="C663" t="s">
        <v>17</v>
      </c>
      <c r="D663">
        <v>4</v>
      </c>
      <c r="E663">
        <v>18000000</v>
      </c>
      <c r="F663">
        <v>3</v>
      </c>
      <c r="G663">
        <v>3142800</v>
      </c>
      <c r="H663">
        <v>69840000</v>
      </c>
      <c r="I663">
        <v>57600000</v>
      </c>
      <c r="J663">
        <v>12240000</v>
      </c>
      <c r="K663" t="s">
        <v>35</v>
      </c>
    </row>
    <row r="664" spans="1:11" x14ac:dyDescent="0.3">
      <c r="A664">
        <v>45589</v>
      </c>
      <c r="B664" t="s">
        <v>10</v>
      </c>
      <c r="C664" t="s">
        <v>13</v>
      </c>
      <c r="D664">
        <v>1</v>
      </c>
      <c r="E664">
        <v>9000000</v>
      </c>
      <c r="F664">
        <v>6</v>
      </c>
      <c r="G664">
        <v>1522800</v>
      </c>
      <c r="H664">
        <v>8460000</v>
      </c>
      <c r="I664">
        <v>7200000</v>
      </c>
      <c r="J664">
        <v>1260000</v>
      </c>
      <c r="K664" t="s">
        <v>35</v>
      </c>
    </row>
    <row r="665" spans="1:11" x14ac:dyDescent="0.3">
      <c r="A665">
        <v>45590</v>
      </c>
      <c r="B665" t="s">
        <v>19</v>
      </c>
      <c r="C665" t="s">
        <v>17</v>
      </c>
      <c r="D665">
        <v>3</v>
      </c>
      <c r="E665">
        <v>15000000</v>
      </c>
      <c r="F665">
        <v>6</v>
      </c>
      <c r="G665">
        <v>2538000</v>
      </c>
      <c r="H665">
        <v>42300000</v>
      </c>
      <c r="I665">
        <v>36000000</v>
      </c>
      <c r="J665">
        <v>6300000</v>
      </c>
      <c r="K665" t="s">
        <v>35</v>
      </c>
    </row>
    <row r="666" spans="1:11" x14ac:dyDescent="0.3">
      <c r="A666">
        <v>45591</v>
      </c>
      <c r="B666" t="s">
        <v>16</v>
      </c>
      <c r="C666" t="s">
        <v>17</v>
      </c>
      <c r="D666">
        <v>1</v>
      </c>
      <c r="E666">
        <v>16000000</v>
      </c>
      <c r="F666">
        <v>6</v>
      </c>
      <c r="G666">
        <v>2707200</v>
      </c>
      <c r="H666">
        <v>15040000</v>
      </c>
      <c r="I666">
        <v>12800000</v>
      </c>
      <c r="J666">
        <v>2240000</v>
      </c>
      <c r="K666" t="s">
        <v>35</v>
      </c>
    </row>
    <row r="667" spans="1:11" x14ac:dyDescent="0.3">
      <c r="A667">
        <v>45592</v>
      </c>
      <c r="B667" t="s">
        <v>12</v>
      </c>
      <c r="C667" t="s">
        <v>13</v>
      </c>
      <c r="D667">
        <v>4</v>
      </c>
      <c r="E667">
        <v>17000000</v>
      </c>
      <c r="F667">
        <v>3</v>
      </c>
      <c r="G667">
        <v>2968200</v>
      </c>
      <c r="H667">
        <v>65960000</v>
      </c>
      <c r="I667">
        <v>54400000</v>
      </c>
      <c r="J667">
        <v>11560000</v>
      </c>
      <c r="K667" t="s">
        <v>35</v>
      </c>
    </row>
    <row r="668" spans="1:11" x14ac:dyDescent="0.3">
      <c r="A668">
        <v>45593</v>
      </c>
      <c r="B668" t="s">
        <v>19</v>
      </c>
      <c r="C668" t="s">
        <v>17</v>
      </c>
      <c r="D668">
        <v>3</v>
      </c>
      <c r="E668">
        <v>15000000</v>
      </c>
      <c r="F668">
        <v>4</v>
      </c>
      <c r="G668">
        <v>2592000</v>
      </c>
      <c r="H668">
        <v>43200000</v>
      </c>
      <c r="I668">
        <v>36000000</v>
      </c>
      <c r="J668">
        <v>7200000</v>
      </c>
      <c r="K668" t="s">
        <v>35</v>
      </c>
    </row>
    <row r="669" spans="1:11" x14ac:dyDescent="0.3">
      <c r="A669">
        <v>45594</v>
      </c>
      <c r="B669" t="s">
        <v>19</v>
      </c>
      <c r="C669" t="s">
        <v>17</v>
      </c>
      <c r="D669">
        <v>1</v>
      </c>
      <c r="E669">
        <v>15000000</v>
      </c>
      <c r="F669">
        <v>6</v>
      </c>
      <c r="G669">
        <v>2538000</v>
      </c>
      <c r="H669">
        <v>14100000</v>
      </c>
      <c r="I669">
        <v>12000000</v>
      </c>
      <c r="J669">
        <v>2100000</v>
      </c>
      <c r="K669" t="s">
        <v>35</v>
      </c>
    </row>
    <row r="670" spans="1:11" x14ac:dyDescent="0.3">
      <c r="A670">
        <v>45595</v>
      </c>
      <c r="B670" t="s">
        <v>10</v>
      </c>
      <c r="C670" t="s">
        <v>18</v>
      </c>
      <c r="D670">
        <v>2</v>
      </c>
      <c r="E670">
        <v>9000000</v>
      </c>
      <c r="F670">
        <v>3</v>
      </c>
      <c r="G670">
        <v>1571400</v>
      </c>
      <c r="H670">
        <v>17460000</v>
      </c>
      <c r="I670">
        <v>14400000</v>
      </c>
      <c r="J670">
        <v>3060000</v>
      </c>
      <c r="K670" t="s">
        <v>35</v>
      </c>
    </row>
    <row r="671" spans="1:11" x14ac:dyDescent="0.3">
      <c r="A671">
        <v>45596</v>
      </c>
      <c r="B671" t="s">
        <v>19</v>
      </c>
      <c r="C671" t="s">
        <v>14</v>
      </c>
      <c r="D671">
        <v>2</v>
      </c>
      <c r="E671">
        <v>15000000</v>
      </c>
      <c r="F671">
        <v>3</v>
      </c>
      <c r="G671">
        <v>2619000</v>
      </c>
      <c r="H671">
        <v>29100000</v>
      </c>
      <c r="I671">
        <v>24000000</v>
      </c>
      <c r="J671">
        <v>5100000</v>
      </c>
      <c r="K671" t="s">
        <v>35</v>
      </c>
    </row>
    <row r="672" spans="1:11" x14ac:dyDescent="0.3">
      <c r="A672">
        <v>45597</v>
      </c>
      <c r="B672" t="s">
        <v>19</v>
      </c>
      <c r="C672" t="s">
        <v>17</v>
      </c>
      <c r="D672">
        <v>2</v>
      </c>
      <c r="E672">
        <v>15000000</v>
      </c>
      <c r="F672">
        <v>4</v>
      </c>
      <c r="G672">
        <v>2592000</v>
      </c>
      <c r="H672">
        <v>28800000</v>
      </c>
      <c r="I672">
        <v>24000000</v>
      </c>
      <c r="J672">
        <v>4800000</v>
      </c>
      <c r="K672" t="s">
        <v>36</v>
      </c>
    </row>
    <row r="673" spans="1:11" x14ac:dyDescent="0.3">
      <c r="A673">
        <v>45598</v>
      </c>
      <c r="B673" t="s">
        <v>12</v>
      </c>
      <c r="C673" t="s">
        <v>18</v>
      </c>
      <c r="D673">
        <v>4</v>
      </c>
      <c r="E673">
        <v>17000000</v>
      </c>
      <c r="F673">
        <v>5</v>
      </c>
      <c r="G673">
        <v>2907000</v>
      </c>
      <c r="H673">
        <v>64600000</v>
      </c>
      <c r="I673">
        <v>54400000</v>
      </c>
      <c r="J673">
        <v>10200000</v>
      </c>
      <c r="K673" t="s">
        <v>36</v>
      </c>
    </row>
    <row r="674" spans="1:11" x14ac:dyDescent="0.3">
      <c r="A674">
        <v>45599</v>
      </c>
      <c r="B674" t="s">
        <v>12</v>
      </c>
      <c r="C674" t="s">
        <v>11</v>
      </c>
      <c r="D674">
        <v>2</v>
      </c>
      <c r="E674">
        <v>17000000</v>
      </c>
      <c r="F674">
        <v>2</v>
      </c>
      <c r="G674">
        <v>2998800</v>
      </c>
      <c r="H674">
        <v>33320000</v>
      </c>
      <c r="I674">
        <v>27200000</v>
      </c>
      <c r="J674">
        <v>6120000</v>
      </c>
      <c r="K674" t="s">
        <v>36</v>
      </c>
    </row>
    <row r="675" spans="1:11" x14ac:dyDescent="0.3">
      <c r="A675">
        <v>45600</v>
      </c>
      <c r="B675" t="s">
        <v>10</v>
      </c>
      <c r="C675" t="s">
        <v>17</v>
      </c>
      <c r="D675">
        <v>4</v>
      </c>
      <c r="E675">
        <v>9000000</v>
      </c>
      <c r="F675">
        <v>6</v>
      </c>
      <c r="G675">
        <v>1522800</v>
      </c>
      <c r="H675">
        <v>33840000</v>
      </c>
      <c r="I675">
        <v>28800000</v>
      </c>
      <c r="J675">
        <v>5040000</v>
      </c>
      <c r="K675" t="s">
        <v>36</v>
      </c>
    </row>
    <row r="676" spans="1:11" x14ac:dyDescent="0.3">
      <c r="A676">
        <v>45601</v>
      </c>
      <c r="B676" t="s">
        <v>15</v>
      </c>
      <c r="C676" t="s">
        <v>13</v>
      </c>
      <c r="D676">
        <v>4</v>
      </c>
      <c r="E676">
        <v>18000000</v>
      </c>
      <c r="F676">
        <v>3</v>
      </c>
      <c r="G676">
        <v>3142800</v>
      </c>
      <c r="H676">
        <v>69840000</v>
      </c>
      <c r="I676">
        <v>57600000</v>
      </c>
      <c r="J676">
        <v>12240000</v>
      </c>
      <c r="K676" t="s">
        <v>36</v>
      </c>
    </row>
    <row r="677" spans="1:11" x14ac:dyDescent="0.3">
      <c r="A677">
        <v>45602</v>
      </c>
      <c r="B677" t="s">
        <v>19</v>
      </c>
      <c r="C677" t="s">
        <v>13</v>
      </c>
      <c r="D677">
        <v>1</v>
      </c>
      <c r="E677">
        <v>15000000</v>
      </c>
      <c r="F677">
        <v>5</v>
      </c>
      <c r="G677">
        <v>2565000</v>
      </c>
      <c r="H677">
        <v>14250000</v>
      </c>
      <c r="I677">
        <v>12000000</v>
      </c>
      <c r="J677">
        <v>2250000</v>
      </c>
      <c r="K677" t="s">
        <v>36</v>
      </c>
    </row>
    <row r="678" spans="1:11" x14ac:dyDescent="0.3">
      <c r="A678">
        <v>45603</v>
      </c>
      <c r="B678" t="s">
        <v>15</v>
      </c>
      <c r="C678" t="s">
        <v>11</v>
      </c>
      <c r="D678">
        <v>4</v>
      </c>
      <c r="E678">
        <v>18000000</v>
      </c>
      <c r="F678">
        <v>3</v>
      </c>
      <c r="G678">
        <v>3142800</v>
      </c>
      <c r="H678">
        <v>69840000</v>
      </c>
      <c r="I678">
        <v>57600000</v>
      </c>
      <c r="J678">
        <v>12240000</v>
      </c>
      <c r="K678" t="s">
        <v>36</v>
      </c>
    </row>
    <row r="679" spans="1:11" x14ac:dyDescent="0.3">
      <c r="A679">
        <v>45604</v>
      </c>
      <c r="B679" t="s">
        <v>12</v>
      </c>
      <c r="C679" t="s">
        <v>18</v>
      </c>
      <c r="D679">
        <v>4</v>
      </c>
      <c r="E679">
        <v>17000000</v>
      </c>
      <c r="F679">
        <v>2</v>
      </c>
      <c r="G679">
        <v>2998800</v>
      </c>
      <c r="H679">
        <v>66640000</v>
      </c>
      <c r="I679">
        <v>54400000</v>
      </c>
      <c r="J679">
        <v>12240000</v>
      </c>
      <c r="K679" t="s">
        <v>36</v>
      </c>
    </row>
    <row r="680" spans="1:11" x14ac:dyDescent="0.3">
      <c r="A680">
        <v>45605</v>
      </c>
      <c r="B680" t="s">
        <v>10</v>
      </c>
      <c r="C680" t="s">
        <v>11</v>
      </c>
      <c r="D680">
        <v>2</v>
      </c>
      <c r="E680">
        <v>9000000</v>
      </c>
      <c r="F680">
        <v>4</v>
      </c>
      <c r="G680">
        <v>1555200</v>
      </c>
      <c r="H680">
        <v>17280000</v>
      </c>
      <c r="I680">
        <v>14400000</v>
      </c>
      <c r="J680">
        <v>2880000</v>
      </c>
      <c r="K680" t="s">
        <v>36</v>
      </c>
    </row>
    <row r="681" spans="1:11" x14ac:dyDescent="0.3">
      <c r="A681">
        <v>45606</v>
      </c>
      <c r="B681" t="s">
        <v>12</v>
      </c>
      <c r="C681" t="s">
        <v>13</v>
      </c>
      <c r="D681">
        <v>2</v>
      </c>
      <c r="E681">
        <v>17000000</v>
      </c>
      <c r="F681">
        <v>3</v>
      </c>
      <c r="G681">
        <v>2968200</v>
      </c>
      <c r="H681">
        <v>32980000</v>
      </c>
      <c r="I681">
        <v>27200000</v>
      </c>
      <c r="J681">
        <v>5780000</v>
      </c>
      <c r="K681" t="s">
        <v>36</v>
      </c>
    </row>
    <row r="682" spans="1:11" x14ac:dyDescent="0.3">
      <c r="A682">
        <v>45607</v>
      </c>
      <c r="B682" t="s">
        <v>12</v>
      </c>
      <c r="C682" t="s">
        <v>18</v>
      </c>
      <c r="D682">
        <v>1</v>
      </c>
      <c r="E682">
        <v>17000000</v>
      </c>
      <c r="F682">
        <v>5</v>
      </c>
      <c r="G682">
        <v>2907000</v>
      </c>
      <c r="H682">
        <v>16150000</v>
      </c>
      <c r="I682">
        <v>13600000</v>
      </c>
      <c r="J682">
        <v>2550000</v>
      </c>
      <c r="K682" t="s">
        <v>36</v>
      </c>
    </row>
    <row r="683" spans="1:11" x14ac:dyDescent="0.3">
      <c r="A683">
        <v>45608</v>
      </c>
      <c r="B683" t="s">
        <v>10</v>
      </c>
      <c r="C683" t="s">
        <v>14</v>
      </c>
      <c r="D683">
        <v>3</v>
      </c>
      <c r="E683">
        <v>9000000</v>
      </c>
      <c r="F683">
        <v>4</v>
      </c>
      <c r="G683">
        <v>1555200</v>
      </c>
      <c r="H683">
        <v>25920000</v>
      </c>
      <c r="I683">
        <v>21600000</v>
      </c>
      <c r="J683">
        <v>4320000</v>
      </c>
      <c r="K683" t="s">
        <v>36</v>
      </c>
    </row>
    <row r="684" spans="1:11" x14ac:dyDescent="0.3">
      <c r="A684">
        <v>45609</v>
      </c>
      <c r="B684" t="s">
        <v>10</v>
      </c>
      <c r="C684" t="s">
        <v>13</v>
      </c>
      <c r="D684">
        <v>4</v>
      </c>
      <c r="E684">
        <v>9000000</v>
      </c>
      <c r="F684">
        <v>5</v>
      </c>
      <c r="G684">
        <v>1539000</v>
      </c>
      <c r="H684">
        <v>34200000</v>
      </c>
      <c r="I684">
        <v>28800000</v>
      </c>
      <c r="J684">
        <v>5400000</v>
      </c>
      <c r="K684" t="s">
        <v>36</v>
      </c>
    </row>
    <row r="685" spans="1:11" x14ac:dyDescent="0.3">
      <c r="A685">
        <v>45610</v>
      </c>
      <c r="B685" t="s">
        <v>19</v>
      </c>
      <c r="C685" t="s">
        <v>11</v>
      </c>
      <c r="D685">
        <v>2</v>
      </c>
      <c r="E685">
        <v>15000000</v>
      </c>
      <c r="F685">
        <v>6</v>
      </c>
      <c r="G685">
        <v>2538000</v>
      </c>
      <c r="H685">
        <v>28200000</v>
      </c>
      <c r="I685">
        <v>24000000</v>
      </c>
      <c r="J685">
        <v>4200000</v>
      </c>
      <c r="K685" t="s">
        <v>36</v>
      </c>
    </row>
    <row r="686" spans="1:11" x14ac:dyDescent="0.3">
      <c r="A686">
        <v>45611</v>
      </c>
      <c r="B686" t="s">
        <v>16</v>
      </c>
      <c r="C686" t="s">
        <v>17</v>
      </c>
      <c r="D686">
        <v>2</v>
      </c>
      <c r="E686">
        <v>16000000</v>
      </c>
      <c r="F686">
        <v>3</v>
      </c>
      <c r="G686">
        <v>2793600</v>
      </c>
      <c r="H686">
        <v>31040000</v>
      </c>
      <c r="I686">
        <v>25600000</v>
      </c>
      <c r="J686">
        <v>5440000</v>
      </c>
      <c r="K686" t="s">
        <v>36</v>
      </c>
    </row>
    <row r="687" spans="1:11" x14ac:dyDescent="0.3">
      <c r="A687">
        <v>45612</v>
      </c>
      <c r="B687" t="s">
        <v>10</v>
      </c>
      <c r="C687" t="s">
        <v>11</v>
      </c>
      <c r="D687">
        <v>3</v>
      </c>
      <c r="E687">
        <v>9000000</v>
      </c>
      <c r="F687">
        <v>5</v>
      </c>
      <c r="G687">
        <v>1539000</v>
      </c>
      <c r="H687">
        <v>25650000</v>
      </c>
      <c r="I687">
        <v>21600000</v>
      </c>
      <c r="J687">
        <v>4050000</v>
      </c>
      <c r="K687" t="s">
        <v>36</v>
      </c>
    </row>
    <row r="688" spans="1:11" x14ac:dyDescent="0.3">
      <c r="A688">
        <v>45613</v>
      </c>
      <c r="B688" t="s">
        <v>15</v>
      </c>
      <c r="C688" t="s">
        <v>13</v>
      </c>
      <c r="D688">
        <v>1</v>
      </c>
      <c r="E688">
        <v>18000000</v>
      </c>
      <c r="F688">
        <v>3</v>
      </c>
      <c r="G688">
        <v>3142800</v>
      </c>
      <c r="H688">
        <v>17460000</v>
      </c>
      <c r="I688">
        <v>14400000</v>
      </c>
      <c r="J688">
        <v>3060000</v>
      </c>
      <c r="K688" t="s">
        <v>36</v>
      </c>
    </row>
    <row r="689" spans="1:11" x14ac:dyDescent="0.3">
      <c r="A689">
        <v>45614</v>
      </c>
      <c r="B689" t="s">
        <v>19</v>
      </c>
      <c r="C689" t="s">
        <v>17</v>
      </c>
      <c r="D689">
        <v>3</v>
      </c>
      <c r="E689">
        <v>15000000</v>
      </c>
      <c r="F689">
        <v>3</v>
      </c>
      <c r="G689">
        <v>2619000</v>
      </c>
      <c r="H689">
        <v>43650000</v>
      </c>
      <c r="I689">
        <v>36000000</v>
      </c>
      <c r="J689">
        <v>7650000</v>
      </c>
      <c r="K689" t="s">
        <v>36</v>
      </c>
    </row>
    <row r="690" spans="1:11" x14ac:dyDescent="0.3">
      <c r="A690">
        <v>45615</v>
      </c>
      <c r="B690" t="s">
        <v>16</v>
      </c>
      <c r="C690" t="s">
        <v>17</v>
      </c>
      <c r="D690">
        <v>3</v>
      </c>
      <c r="E690">
        <v>16000000</v>
      </c>
      <c r="F690">
        <v>2</v>
      </c>
      <c r="G690">
        <v>2822400</v>
      </c>
      <c r="H690">
        <v>47040000</v>
      </c>
      <c r="I690">
        <v>38400000</v>
      </c>
      <c r="J690">
        <v>8640000</v>
      </c>
      <c r="K690" t="s">
        <v>36</v>
      </c>
    </row>
    <row r="691" spans="1:11" x14ac:dyDescent="0.3">
      <c r="A691">
        <v>45616</v>
      </c>
      <c r="B691" t="s">
        <v>19</v>
      </c>
      <c r="C691" t="s">
        <v>14</v>
      </c>
      <c r="D691">
        <v>4</v>
      </c>
      <c r="E691">
        <v>15000000</v>
      </c>
      <c r="F691">
        <v>4</v>
      </c>
      <c r="G691">
        <v>2592000</v>
      </c>
      <c r="H691">
        <v>57600000</v>
      </c>
      <c r="I691">
        <v>48000000</v>
      </c>
      <c r="J691">
        <v>9600000</v>
      </c>
      <c r="K691" t="s">
        <v>36</v>
      </c>
    </row>
    <row r="692" spans="1:11" x14ac:dyDescent="0.3">
      <c r="A692">
        <v>45617</v>
      </c>
      <c r="B692" t="s">
        <v>10</v>
      </c>
      <c r="C692" t="s">
        <v>11</v>
      </c>
      <c r="D692">
        <v>4</v>
      </c>
      <c r="E692">
        <v>9000000</v>
      </c>
      <c r="F692">
        <v>6</v>
      </c>
      <c r="G692">
        <v>1522800</v>
      </c>
      <c r="H692">
        <v>33840000</v>
      </c>
      <c r="I692">
        <v>28800000</v>
      </c>
      <c r="J692">
        <v>5040000</v>
      </c>
      <c r="K692" t="s">
        <v>36</v>
      </c>
    </row>
    <row r="693" spans="1:11" x14ac:dyDescent="0.3">
      <c r="A693">
        <v>45618</v>
      </c>
      <c r="B693" t="s">
        <v>16</v>
      </c>
      <c r="C693" t="s">
        <v>18</v>
      </c>
      <c r="D693">
        <v>3</v>
      </c>
      <c r="E693">
        <v>16000000</v>
      </c>
      <c r="F693">
        <v>2</v>
      </c>
      <c r="G693">
        <v>2822400</v>
      </c>
      <c r="H693">
        <v>47040000</v>
      </c>
      <c r="I693">
        <v>38400000</v>
      </c>
      <c r="J693">
        <v>8640000</v>
      </c>
      <c r="K693" t="s">
        <v>36</v>
      </c>
    </row>
    <row r="694" spans="1:11" x14ac:dyDescent="0.3">
      <c r="A694">
        <v>45619</v>
      </c>
      <c r="B694" t="s">
        <v>15</v>
      </c>
      <c r="C694" t="s">
        <v>13</v>
      </c>
      <c r="D694">
        <v>3</v>
      </c>
      <c r="E694">
        <v>18000000</v>
      </c>
      <c r="F694">
        <v>5</v>
      </c>
      <c r="G694">
        <v>3078000</v>
      </c>
      <c r="H694">
        <v>51300000</v>
      </c>
      <c r="I694">
        <v>43200000</v>
      </c>
      <c r="J694">
        <v>8100000</v>
      </c>
      <c r="K694" t="s">
        <v>36</v>
      </c>
    </row>
    <row r="695" spans="1:11" x14ac:dyDescent="0.3">
      <c r="A695">
        <v>45620</v>
      </c>
      <c r="B695" t="s">
        <v>15</v>
      </c>
      <c r="C695" t="s">
        <v>18</v>
      </c>
      <c r="D695">
        <v>3</v>
      </c>
      <c r="E695">
        <v>18000000</v>
      </c>
      <c r="F695">
        <v>4</v>
      </c>
      <c r="G695">
        <v>3110400</v>
      </c>
      <c r="H695">
        <v>51840000</v>
      </c>
      <c r="I695">
        <v>43200000</v>
      </c>
      <c r="J695">
        <v>8640000</v>
      </c>
      <c r="K695" t="s">
        <v>36</v>
      </c>
    </row>
    <row r="696" spans="1:11" x14ac:dyDescent="0.3">
      <c r="A696">
        <v>45621</v>
      </c>
      <c r="B696" t="s">
        <v>16</v>
      </c>
      <c r="C696" t="s">
        <v>18</v>
      </c>
      <c r="D696">
        <v>1</v>
      </c>
      <c r="E696">
        <v>16000000</v>
      </c>
      <c r="F696">
        <v>3</v>
      </c>
      <c r="G696">
        <v>2793600</v>
      </c>
      <c r="H696">
        <v>15520000</v>
      </c>
      <c r="I696">
        <v>12800000</v>
      </c>
      <c r="J696">
        <v>2720000</v>
      </c>
      <c r="K696" t="s">
        <v>36</v>
      </c>
    </row>
    <row r="697" spans="1:11" x14ac:dyDescent="0.3">
      <c r="A697">
        <v>45622</v>
      </c>
      <c r="B697" t="s">
        <v>16</v>
      </c>
      <c r="C697" t="s">
        <v>18</v>
      </c>
      <c r="D697">
        <v>4</v>
      </c>
      <c r="E697">
        <v>16000000</v>
      </c>
      <c r="F697">
        <v>4</v>
      </c>
      <c r="G697">
        <v>2764800</v>
      </c>
      <c r="H697">
        <v>61440000</v>
      </c>
      <c r="I697">
        <v>51200000</v>
      </c>
      <c r="J697">
        <v>10240000</v>
      </c>
      <c r="K697" t="s">
        <v>36</v>
      </c>
    </row>
    <row r="698" spans="1:11" x14ac:dyDescent="0.3">
      <c r="A698">
        <v>45623</v>
      </c>
      <c r="B698" t="s">
        <v>16</v>
      </c>
      <c r="C698" t="s">
        <v>14</v>
      </c>
      <c r="D698">
        <v>2</v>
      </c>
      <c r="E698">
        <v>16000000</v>
      </c>
      <c r="F698">
        <v>3</v>
      </c>
      <c r="G698">
        <v>2793600</v>
      </c>
      <c r="H698">
        <v>31040000</v>
      </c>
      <c r="I698">
        <v>25600000</v>
      </c>
      <c r="J698">
        <v>5440000</v>
      </c>
      <c r="K698" t="s">
        <v>36</v>
      </c>
    </row>
    <row r="699" spans="1:11" x14ac:dyDescent="0.3">
      <c r="A699">
        <v>45624</v>
      </c>
      <c r="B699" t="s">
        <v>15</v>
      </c>
      <c r="C699" t="s">
        <v>17</v>
      </c>
      <c r="D699">
        <v>3</v>
      </c>
      <c r="E699">
        <v>18000000</v>
      </c>
      <c r="F699">
        <v>6</v>
      </c>
      <c r="G699">
        <v>3045600</v>
      </c>
      <c r="H699">
        <v>50760000</v>
      </c>
      <c r="I699">
        <v>43200000</v>
      </c>
      <c r="J699">
        <v>7560000</v>
      </c>
      <c r="K699" t="s">
        <v>36</v>
      </c>
    </row>
    <row r="700" spans="1:11" x14ac:dyDescent="0.3">
      <c r="A700">
        <v>45625</v>
      </c>
      <c r="B700" t="s">
        <v>19</v>
      </c>
      <c r="C700" t="s">
        <v>18</v>
      </c>
      <c r="D700">
        <v>3</v>
      </c>
      <c r="E700">
        <v>15000000</v>
      </c>
      <c r="F700">
        <v>2</v>
      </c>
      <c r="G700">
        <v>2646000</v>
      </c>
      <c r="H700">
        <v>44100000</v>
      </c>
      <c r="I700">
        <v>36000000</v>
      </c>
      <c r="J700">
        <v>8100000</v>
      </c>
      <c r="K700" t="s">
        <v>36</v>
      </c>
    </row>
    <row r="701" spans="1:11" x14ac:dyDescent="0.3">
      <c r="A701">
        <v>45626</v>
      </c>
      <c r="B701" t="s">
        <v>19</v>
      </c>
      <c r="C701" t="s">
        <v>11</v>
      </c>
      <c r="D701">
        <v>4</v>
      </c>
      <c r="E701">
        <v>15000000</v>
      </c>
      <c r="F701">
        <v>3</v>
      </c>
      <c r="G701">
        <v>2619000</v>
      </c>
      <c r="H701">
        <v>58200000</v>
      </c>
      <c r="I701">
        <v>48000000</v>
      </c>
      <c r="J701">
        <v>10200000</v>
      </c>
      <c r="K701" t="s">
        <v>36</v>
      </c>
    </row>
    <row r="702" spans="1:11" x14ac:dyDescent="0.3">
      <c r="A702">
        <v>45627</v>
      </c>
      <c r="B702" t="s">
        <v>16</v>
      </c>
      <c r="C702" t="s">
        <v>18</v>
      </c>
      <c r="D702">
        <v>4</v>
      </c>
      <c r="E702">
        <v>16000000</v>
      </c>
      <c r="F702">
        <v>6</v>
      </c>
      <c r="G702">
        <v>2707200</v>
      </c>
      <c r="H702">
        <v>60160000</v>
      </c>
      <c r="I702">
        <v>51200000</v>
      </c>
      <c r="J702">
        <v>8960000</v>
      </c>
      <c r="K702" t="s">
        <v>37</v>
      </c>
    </row>
    <row r="703" spans="1:11" x14ac:dyDescent="0.3">
      <c r="A703">
        <v>45628</v>
      </c>
      <c r="B703" t="s">
        <v>19</v>
      </c>
      <c r="C703" t="s">
        <v>18</v>
      </c>
      <c r="D703">
        <v>3</v>
      </c>
      <c r="E703">
        <v>15000000</v>
      </c>
      <c r="F703">
        <v>2</v>
      </c>
      <c r="G703">
        <v>2646000</v>
      </c>
      <c r="H703">
        <v>44100000</v>
      </c>
      <c r="I703">
        <v>36000000</v>
      </c>
      <c r="J703">
        <v>8100000</v>
      </c>
      <c r="K703" t="s">
        <v>37</v>
      </c>
    </row>
    <row r="704" spans="1:11" x14ac:dyDescent="0.3">
      <c r="A704">
        <v>45629</v>
      </c>
      <c r="B704" t="s">
        <v>19</v>
      </c>
      <c r="C704" t="s">
        <v>11</v>
      </c>
      <c r="D704">
        <v>4</v>
      </c>
      <c r="E704">
        <v>15000000</v>
      </c>
      <c r="F704">
        <v>4</v>
      </c>
      <c r="G704">
        <v>2592000</v>
      </c>
      <c r="H704">
        <v>57600000</v>
      </c>
      <c r="I704">
        <v>48000000</v>
      </c>
      <c r="J704">
        <v>9600000</v>
      </c>
      <c r="K704" t="s">
        <v>37</v>
      </c>
    </row>
    <row r="705" spans="1:11" x14ac:dyDescent="0.3">
      <c r="A705">
        <v>45630</v>
      </c>
      <c r="B705" t="s">
        <v>16</v>
      </c>
      <c r="C705" t="s">
        <v>14</v>
      </c>
      <c r="D705">
        <v>3</v>
      </c>
      <c r="E705">
        <v>16000000</v>
      </c>
      <c r="F705">
        <v>3</v>
      </c>
      <c r="G705">
        <v>2793600</v>
      </c>
      <c r="H705">
        <v>46560000</v>
      </c>
      <c r="I705">
        <v>38400000</v>
      </c>
      <c r="J705">
        <v>8160000</v>
      </c>
      <c r="K705" t="s">
        <v>37</v>
      </c>
    </row>
    <row r="706" spans="1:11" x14ac:dyDescent="0.3">
      <c r="A706">
        <v>45631</v>
      </c>
      <c r="B706" t="s">
        <v>15</v>
      </c>
      <c r="C706" t="s">
        <v>18</v>
      </c>
      <c r="D706">
        <v>2</v>
      </c>
      <c r="E706">
        <v>18000000</v>
      </c>
      <c r="F706">
        <v>6</v>
      </c>
      <c r="G706">
        <v>3045600</v>
      </c>
      <c r="H706">
        <v>33840000</v>
      </c>
      <c r="I706">
        <v>28800000</v>
      </c>
      <c r="J706">
        <v>5040000</v>
      </c>
      <c r="K706" t="s">
        <v>37</v>
      </c>
    </row>
    <row r="707" spans="1:11" x14ac:dyDescent="0.3">
      <c r="A707">
        <v>45632</v>
      </c>
      <c r="B707" t="s">
        <v>12</v>
      </c>
      <c r="C707" t="s">
        <v>18</v>
      </c>
      <c r="D707">
        <v>4</v>
      </c>
      <c r="E707">
        <v>17000000</v>
      </c>
      <c r="F707">
        <v>3</v>
      </c>
      <c r="G707">
        <v>2968200</v>
      </c>
      <c r="H707">
        <v>65960000</v>
      </c>
      <c r="I707">
        <v>54400000</v>
      </c>
      <c r="J707">
        <v>11560000</v>
      </c>
      <c r="K707" t="s">
        <v>37</v>
      </c>
    </row>
    <row r="708" spans="1:11" x14ac:dyDescent="0.3">
      <c r="A708">
        <v>45633</v>
      </c>
      <c r="B708" t="s">
        <v>15</v>
      </c>
      <c r="C708" t="s">
        <v>17</v>
      </c>
      <c r="D708">
        <v>1</v>
      </c>
      <c r="E708">
        <v>18000000</v>
      </c>
      <c r="F708">
        <v>2</v>
      </c>
      <c r="G708">
        <v>3175200</v>
      </c>
      <c r="H708">
        <v>17640000</v>
      </c>
      <c r="I708">
        <v>14400000</v>
      </c>
      <c r="J708">
        <v>3240000</v>
      </c>
      <c r="K708" t="s">
        <v>37</v>
      </c>
    </row>
    <row r="709" spans="1:11" x14ac:dyDescent="0.3">
      <c r="A709">
        <v>45634</v>
      </c>
      <c r="B709" t="s">
        <v>15</v>
      </c>
      <c r="C709" t="s">
        <v>11</v>
      </c>
      <c r="D709">
        <v>3</v>
      </c>
      <c r="E709">
        <v>18000000</v>
      </c>
      <c r="F709">
        <v>5</v>
      </c>
      <c r="G709">
        <v>3078000</v>
      </c>
      <c r="H709">
        <v>51300000</v>
      </c>
      <c r="I709">
        <v>43200000</v>
      </c>
      <c r="J709">
        <v>8100000</v>
      </c>
      <c r="K709" t="s">
        <v>37</v>
      </c>
    </row>
    <row r="710" spans="1:11" x14ac:dyDescent="0.3">
      <c r="A710">
        <v>45635</v>
      </c>
      <c r="B710" t="s">
        <v>15</v>
      </c>
      <c r="C710" t="s">
        <v>17</v>
      </c>
      <c r="D710">
        <v>3</v>
      </c>
      <c r="E710">
        <v>18000000</v>
      </c>
      <c r="F710">
        <v>3</v>
      </c>
      <c r="G710">
        <v>3142800</v>
      </c>
      <c r="H710">
        <v>52380000</v>
      </c>
      <c r="I710">
        <v>43200000</v>
      </c>
      <c r="J710">
        <v>9180000</v>
      </c>
      <c r="K710" t="s">
        <v>37</v>
      </c>
    </row>
    <row r="711" spans="1:11" x14ac:dyDescent="0.3">
      <c r="A711">
        <v>45636</v>
      </c>
      <c r="B711" t="s">
        <v>16</v>
      </c>
      <c r="C711" t="s">
        <v>13</v>
      </c>
      <c r="D711">
        <v>2</v>
      </c>
      <c r="E711">
        <v>16000000</v>
      </c>
      <c r="F711">
        <v>3</v>
      </c>
      <c r="G711">
        <v>2793600</v>
      </c>
      <c r="H711">
        <v>31040000</v>
      </c>
      <c r="I711">
        <v>25600000</v>
      </c>
      <c r="J711">
        <v>5440000</v>
      </c>
      <c r="K711" t="s">
        <v>37</v>
      </c>
    </row>
    <row r="712" spans="1:11" x14ac:dyDescent="0.3">
      <c r="A712">
        <v>45637</v>
      </c>
      <c r="B712" t="s">
        <v>15</v>
      </c>
      <c r="C712" t="s">
        <v>14</v>
      </c>
      <c r="D712">
        <v>2</v>
      </c>
      <c r="E712">
        <v>18000000</v>
      </c>
      <c r="F712">
        <v>6</v>
      </c>
      <c r="G712">
        <v>3045600</v>
      </c>
      <c r="H712">
        <v>33840000</v>
      </c>
      <c r="I712">
        <v>28800000</v>
      </c>
      <c r="J712">
        <v>5040000</v>
      </c>
      <c r="K712" t="s">
        <v>37</v>
      </c>
    </row>
    <row r="713" spans="1:11" x14ac:dyDescent="0.3">
      <c r="A713">
        <v>45638</v>
      </c>
      <c r="B713" t="s">
        <v>16</v>
      </c>
      <c r="C713" t="s">
        <v>14</v>
      </c>
      <c r="D713">
        <v>4</v>
      </c>
      <c r="E713">
        <v>16000000</v>
      </c>
      <c r="F713">
        <v>3</v>
      </c>
      <c r="G713">
        <v>2793600</v>
      </c>
      <c r="H713">
        <v>62080000</v>
      </c>
      <c r="I713">
        <v>51200000</v>
      </c>
      <c r="J713">
        <v>10880000</v>
      </c>
      <c r="K713" t="s">
        <v>37</v>
      </c>
    </row>
    <row r="714" spans="1:11" x14ac:dyDescent="0.3">
      <c r="A714">
        <v>45639</v>
      </c>
      <c r="B714" t="s">
        <v>10</v>
      </c>
      <c r="C714" t="s">
        <v>14</v>
      </c>
      <c r="D714">
        <v>2</v>
      </c>
      <c r="E714">
        <v>9000000</v>
      </c>
      <c r="F714">
        <v>6</v>
      </c>
      <c r="G714">
        <v>1522800</v>
      </c>
      <c r="H714">
        <v>16920000</v>
      </c>
      <c r="I714">
        <v>14400000</v>
      </c>
      <c r="J714">
        <v>2520000</v>
      </c>
      <c r="K714" t="s">
        <v>37</v>
      </c>
    </row>
    <row r="715" spans="1:11" x14ac:dyDescent="0.3">
      <c r="A715">
        <v>45640</v>
      </c>
      <c r="B715" t="s">
        <v>12</v>
      </c>
      <c r="C715" t="s">
        <v>14</v>
      </c>
      <c r="D715">
        <v>2</v>
      </c>
      <c r="E715">
        <v>17000000</v>
      </c>
      <c r="F715">
        <v>5</v>
      </c>
      <c r="G715">
        <v>2907000</v>
      </c>
      <c r="H715">
        <v>32300000</v>
      </c>
      <c r="I715">
        <v>27200000</v>
      </c>
      <c r="J715">
        <v>5100000</v>
      </c>
      <c r="K715" t="s">
        <v>37</v>
      </c>
    </row>
    <row r="716" spans="1:11" x14ac:dyDescent="0.3">
      <c r="A716">
        <v>45641</v>
      </c>
      <c r="B716" t="s">
        <v>16</v>
      </c>
      <c r="C716" t="s">
        <v>18</v>
      </c>
      <c r="D716">
        <v>1</v>
      </c>
      <c r="E716">
        <v>16000000</v>
      </c>
      <c r="F716">
        <v>4</v>
      </c>
      <c r="G716">
        <v>2764800</v>
      </c>
      <c r="H716">
        <v>15360000</v>
      </c>
      <c r="I716">
        <v>12800000</v>
      </c>
      <c r="J716">
        <v>2560000</v>
      </c>
      <c r="K716" t="s">
        <v>37</v>
      </c>
    </row>
    <row r="717" spans="1:11" x14ac:dyDescent="0.3">
      <c r="A717">
        <v>45642</v>
      </c>
      <c r="B717" t="s">
        <v>15</v>
      </c>
      <c r="C717" t="s">
        <v>14</v>
      </c>
      <c r="D717">
        <v>2</v>
      </c>
      <c r="E717">
        <v>18000000</v>
      </c>
      <c r="F717">
        <v>3</v>
      </c>
      <c r="G717">
        <v>3142800</v>
      </c>
      <c r="H717">
        <v>34920000</v>
      </c>
      <c r="I717">
        <v>28800000</v>
      </c>
      <c r="J717">
        <v>6120000</v>
      </c>
      <c r="K717" t="s">
        <v>37</v>
      </c>
    </row>
    <row r="718" spans="1:11" x14ac:dyDescent="0.3">
      <c r="A718">
        <v>45643</v>
      </c>
      <c r="B718" t="s">
        <v>10</v>
      </c>
      <c r="C718" t="s">
        <v>13</v>
      </c>
      <c r="D718">
        <v>2</v>
      </c>
      <c r="E718">
        <v>9000000</v>
      </c>
      <c r="F718">
        <v>5</v>
      </c>
      <c r="G718">
        <v>1539000</v>
      </c>
      <c r="H718">
        <v>17100000</v>
      </c>
      <c r="I718">
        <v>14400000</v>
      </c>
      <c r="J718">
        <v>2700000</v>
      </c>
      <c r="K718" t="s">
        <v>37</v>
      </c>
    </row>
    <row r="719" spans="1:11" x14ac:dyDescent="0.3">
      <c r="A719">
        <v>45644</v>
      </c>
      <c r="B719" t="s">
        <v>12</v>
      </c>
      <c r="C719" t="s">
        <v>11</v>
      </c>
      <c r="D719">
        <v>1</v>
      </c>
      <c r="E719">
        <v>17000000</v>
      </c>
      <c r="F719">
        <v>4</v>
      </c>
      <c r="G719">
        <v>2937600</v>
      </c>
      <c r="H719">
        <v>16320000</v>
      </c>
      <c r="I719">
        <v>13600000</v>
      </c>
      <c r="J719">
        <v>2720000</v>
      </c>
      <c r="K719" t="s">
        <v>37</v>
      </c>
    </row>
    <row r="720" spans="1:11" x14ac:dyDescent="0.3">
      <c r="A720">
        <v>45645</v>
      </c>
      <c r="B720" t="s">
        <v>16</v>
      </c>
      <c r="C720" t="s">
        <v>14</v>
      </c>
      <c r="D720">
        <v>4</v>
      </c>
      <c r="E720">
        <v>16000000</v>
      </c>
      <c r="F720">
        <v>2</v>
      </c>
      <c r="G720">
        <v>2822400</v>
      </c>
      <c r="H720">
        <v>62720000</v>
      </c>
      <c r="I720">
        <v>51200000</v>
      </c>
      <c r="J720">
        <v>11520000</v>
      </c>
      <c r="K720" t="s">
        <v>37</v>
      </c>
    </row>
    <row r="721" spans="1:11" x14ac:dyDescent="0.3">
      <c r="A721">
        <v>45646</v>
      </c>
      <c r="B721" t="s">
        <v>10</v>
      </c>
      <c r="C721" t="s">
        <v>13</v>
      </c>
      <c r="D721">
        <v>3</v>
      </c>
      <c r="E721">
        <v>9000000</v>
      </c>
      <c r="F721">
        <v>2</v>
      </c>
      <c r="G721">
        <v>1587600</v>
      </c>
      <c r="H721">
        <v>26460000</v>
      </c>
      <c r="I721">
        <v>21600000</v>
      </c>
      <c r="J721">
        <v>4860000</v>
      </c>
      <c r="K721" t="s">
        <v>37</v>
      </c>
    </row>
    <row r="722" spans="1:11" x14ac:dyDescent="0.3">
      <c r="A722">
        <v>45647</v>
      </c>
      <c r="B722" t="s">
        <v>16</v>
      </c>
      <c r="C722" t="s">
        <v>11</v>
      </c>
      <c r="D722">
        <v>4</v>
      </c>
      <c r="E722">
        <v>16000000</v>
      </c>
      <c r="F722">
        <v>3</v>
      </c>
      <c r="G722">
        <v>2793600</v>
      </c>
      <c r="H722">
        <v>62080000</v>
      </c>
      <c r="I722">
        <v>51200000</v>
      </c>
      <c r="J722">
        <v>10880000</v>
      </c>
      <c r="K722" t="s">
        <v>37</v>
      </c>
    </row>
    <row r="723" spans="1:11" x14ac:dyDescent="0.3">
      <c r="A723">
        <v>45648</v>
      </c>
      <c r="B723" t="s">
        <v>15</v>
      </c>
      <c r="C723" t="s">
        <v>17</v>
      </c>
      <c r="D723">
        <v>2</v>
      </c>
      <c r="E723">
        <v>18000000</v>
      </c>
      <c r="F723">
        <v>5</v>
      </c>
      <c r="G723">
        <v>3078000</v>
      </c>
      <c r="H723">
        <v>34200000</v>
      </c>
      <c r="I723">
        <v>28800000</v>
      </c>
      <c r="J723">
        <v>5400000</v>
      </c>
      <c r="K723" t="s">
        <v>37</v>
      </c>
    </row>
    <row r="724" spans="1:11" x14ac:dyDescent="0.3">
      <c r="A724">
        <v>45649</v>
      </c>
      <c r="B724" t="s">
        <v>12</v>
      </c>
      <c r="C724" t="s">
        <v>14</v>
      </c>
      <c r="D724">
        <v>2</v>
      </c>
      <c r="E724">
        <v>17000000</v>
      </c>
      <c r="F724">
        <v>3</v>
      </c>
      <c r="G724">
        <v>2968200</v>
      </c>
      <c r="H724">
        <v>32980000</v>
      </c>
      <c r="I724">
        <v>27200000</v>
      </c>
      <c r="J724">
        <v>5780000</v>
      </c>
      <c r="K724" t="s">
        <v>37</v>
      </c>
    </row>
    <row r="725" spans="1:11" x14ac:dyDescent="0.3">
      <c r="A725">
        <v>45650</v>
      </c>
      <c r="B725" t="s">
        <v>12</v>
      </c>
      <c r="C725" t="s">
        <v>13</v>
      </c>
      <c r="D725">
        <v>3</v>
      </c>
      <c r="E725">
        <v>17000000</v>
      </c>
      <c r="F725">
        <v>3</v>
      </c>
      <c r="G725">
        <v>2968200</v>
      </c>
      <c r="H725">
        <v>49470000</v>
      </c>
      <c r="I725">
        <v>40800000</v>
      </c>
      <c r="J725">
        <v>8670000</v>
      </c>
      <c r="K725" t="s">
        <v>37</v>
      </c>
    </row>
    <row r="726" spans="1:11" x14ac:dyDescent="0.3">
      <c r="A726">
        <v>45651</v>
      </c>
      <c r="B726" t="s">
        <v>12</v>
      </c>
      <c r="C726" t="s">
        <v>13</v>
      </c>
      <c r="D726">
        <v>2</v>
      </c>
      <c r="E726">
        <v>17000000</v>
      </c>
      <c r="F726">
        <v>6</v>
      </c>
      <c r="G726">
        <v>2876400</v>
      </c>
      <c r="H726">
        <v>31960000</v>
      </c>
      <c r="I726">
        <v>27200000</v>
      </c>
      <c r="J726">
        <v>4760000</v>
      </c>
      <c r="K726" t="s">
        <v>37</v>
      </c>
    </row>
    <row r="727" spans="1:11" x14ac:dyDescent="0.3">
      <c r="A727">
        <v>45652</v>
      </c>
      <c r="B727" t="s">
        <v>10</v>
      </c>
      <c r="C727" t="s">
        <v>14</v>
      </c>
      <c r="D727">
        <v>1</v>
      </c>
      <c r="E727">
        <v>9000000</v>
      </c>
      <c r="F727">
        <v>2</v>
      </c>
      <c r="G727">
        <v>1587600</v>
      </c>
      <c r="H727">
        <v>8820000</v>
      </c>
      <c r="I727">
        <v>7200000</v>
      </c>
      <c r="J727">
        <v>1620000</v>
      </c>
      <c r="K727" t="s">
        <v>37</v>
      </c>
    </row>
    <row r="728" spans="1:11" x14ac:dyDescent="0.3">
      <c r="A728">
        <v>45653</v>
      </c>
      <c r="B728" t="s">
        <v>10</v>
      </c>
      <c r="C728" t="s">
        <v>17</v>
      </c>
      <c r="D728">
        <v>3</v>
      </c>
      <c r="E728">
        <v>9000000</v>
      </c>
      <c r="F728">
        <v>3</v>
      </c>
      <c r="G728">
        <v>1571400</v>
      </c>
      <c r="H728">
        <v>26190000</v>
      </c>
      <c r="I728">
        <v>21600000</v>
      </c>
      <c r="J728">
        <v>4590000</v>
      </c>
      <c r="K728" t="s">
        <v>37</v>
      </c>
    </row>
    <row r="729" spans="1:11" x14ac:dyDescent="0.3">
      <c r="A729">
        <v>45654</v>
      </c>
      <c r="B729" t="s">
        <v>16</v>
      </c>
      <c r="C729" t="s">
        <v>11</v>
      </c>
      <c r="D729">
        <v>2</v>
      </c>
      <c r="E729">
        <v>16000000</v>
      </c>
      <c r="F729">
        <v>3</v>
      </c>
      <c r="G729">
        <v>2793600</v>
      </c>
      <c r="H729">
        <v>31040000</v>
      </c>
      <c r="I729">
        <v>25600000</v>
      </c>
      <c r="J729">
        <v>5440000</v>
      </c>
      <c r="K729" t="s">
        <v>37</v>
      </c>
    </row>
    <row r="730" spans="1:11" x14ac:dyDescent="0.3">
      <c r="A730">
        <v>45655</v>
      </c>
      <c r="B730" t="s">
        <v>15</v>
      </c>
      <c r="C730" t="s">
        <v>14</v>
      </c>
      <c r="D730">
        <v>3</v>
      </c>
      <c r="E730">
        <v>18000000</v>
      </c>
      <c r="F730">
        <v>4</v>
      </c>
      <c r="G730">
        <v>3110400</v>
      </c>
      <c r="H730">
        <v>51840000</v>
      </c>
      <c r="I730">
        <v>43200000</v>
      </c>
      <c r="J730">
        <v>8640000</v>
      </c>
      <c r="K730" t="s">
        <v>37</v>
      </c>
    </row>
    <row r="731" spans="1:11" x14ac:dyDescent="0.3">
      <c r="A731">
        <v>45656</v>
      </c>
      <c r="B731" t="s">
        <v>10</v>
      </c>
      <c r="C731" t="s">
        <v>14</v>
      </c>
      <c r="D731">
        <v>1</v>
      </c>
      <c r="E731">
        <v>9000000</v>
      </c>
      <c r="F731">
        <v>3</v>
      </c>
      <c r="G731">
        <v>1571400</v>
      </c>
      <c r="H731">
        <v>8730000</v>
      </c>
      <c r="I731">
        <v>7200000</v>
      </c>
      <c r="J731">
        <v>1530000</v>
      </c>
      <c r="K731" t="s">
        <v>37</v>
      </c>
    </row>
    <row r="732" spans="1:11" x14ac:dyDescent="0.3">
      <c r="A732">
        <v>45657</v>
      </c>
      <c r="B732" t="s">
        <v>19</v>
      </c>
      <c r="C732" t="s">
        <v>17</v>
      </c>
      <c r="D732">
        <v>1</v>
      </c>
      <c r="E732">
        <v>15000000</v>
      </c>
      <c r="F732">
        <v>3</v>
      </c>
      <c r="G732">
        <v>2619000</v>
      </c>
      <c r="H732">
        <v>14550000</v>
      </c>
      <c r="I732">
        <v>12000000</v>
      </c>
      <c r="J732">
        <v>2550000</v>
      </c>
      <c r="K732" t="s">
        <v>37</v>
      </c>
    </row>
    <row r="733" spans="1:11" x14ac:dyDescent="0.3">
      <c r="A733">
        <v>45658</v>
      </c>
      <c r="B733" t="s">
        <v>12</v>
      </c>
      <c r="C733" t="s">
        <v>11</v>
      </c>
      <c r="D733">
        <v>2</v>
      </c>
      <c r="E733">
        <v>17000000</v>
      </c>
      <c r="F733">
        <v>2</v>
      </c>
      <c r="G733">
        <v>2998800</v>
      </c>
      <c r="H733">
        <v>33320000</v>
      </c>
      <c r="I733">
        <v>27200000</v>
      </c>
      <c r="J733">
        <v>6120000</v>
      </c>
      <c r="K733" t="s">
        <v>26</v>
      </c>
    </row>
    <row r="734" spans="1:11" x14ac:dyDescent="0.3">
      <c r="A734">
        <v>45659</v>
      </c>
      <c r="B734" t="s">
        <v>19</v>
      </c>
      <c r="C734" t="s">
        <v>17</v>
      </c>
      <c r="D734">
        <v>3</v>
      </c>
      <c r="E734">
        <v>15000000</v>
      </c>
      <c r="F734">
        <v>6</v>
      </c>
      <c r="G734">
        <v>2538000</v>
      </c>
      <c r="H734">
        <v>42300000</v>
      </c>
      <c r="I734">
        <v>36000000</v>
      </c>
      <c r="J734">
        <v>6300000</v>
      </c>
      <c r="K734" t="s">
        <v>26</v>
      </c>
    </row>
    <row r="735" spans="1:11" x14ac:dyDescent="0.3">
      <c r="A735">
        <v>45660</v>
      </c>
      <c r="B735" t="s">
        <v>15</v>
      </c>
      <c r="C735" t="s">
        <v>18</v>
      </c>
      <c r="D735">
        <v>3</v>
      </c>
      <c r="E735">
        <v>18000000</v>
      </c>
      <c r="F735">
        <v>6</v>
      </c>
      <c r="G735">
        <v>3045600</v>
      </c>
      <c r="H735">
        <v>50760000</v>
      </c>
      <c r="I735">
        <v>43200000</v>
      </c>
      <c r="J735">
        <v>7560000</v>
      </c>
      <c r="K735" t="s">
        <v>26</v>
      </c>
    </row>
    <row r="736" spans="1:11" x14ac:dyDescent="0.3">
      <c r="A736">
        <v>45661</v>
      </c>
      <c r="B736" t="s">
        <v>10</v>
      </c>
      <c r="C736" t="s">
        <v>14</v>
      </c>
      <c r="D736">
        <v>2</v>
      </c>
      <c r="E736">
        <v>9000000</v>
      </c>
      <c r="F736">
        <v>2</v>
      </c>
      <c r="G736">
        <v>1587600</v>
      </c>
      <c r="H736">
        <v>17640000</v>
      </c>
      <c r="I736">
        <v>14400000</v>
      </c>
      <c r="J736">
        <v>3240000</v>
      </c>
      <c r="K736" t="s">
        <v>26</v>
      </c>
    </row>
    <row r="737" spans="1:11" x14ac:dyDescent="0.3">
      <c r="A737">
        <v>45662</v>
      </c>
      <c r="B737" t="s">
        <v>12</v>
      </c>
      <c r="C737" t="s">
        <v>14</v>
      </c>
      <c r="D737">
        <v>2</v>
      </c>
      <c r="E737">
        <v>17000000</v>
      </c>
      <c r="F737">
        <v>4</v>
      </c>
      <c r="G737">
        <v>2937600</v>
      </c>
      <c r="H737">
        <v>32640000</v>
      </c>
      <c r="I737">
        <v>27200000</v>
      </c>
      <c r="J737">
        <v>5440000</v>
      </c>
      <c r="K737" t="s">
        <v>26</v>
      </c>
    </row>
    <row r="738" spans="1:11" x14ac:dyDescent="0.3">
      <c r="A738">
        <v>45663</v>
      </c>
      <c r="B738" t="s">
        <v>15</v>
      </c>
      <c r="C738" t="s">
        <v>11</v>
      </c>
      <c r="D738">
        <v>1</v>
      </c>
      <c r="E738">
        <v>18000000</v>
      </c>
      <c r="F738">
        <v>2</v>
      </c>
      <c r="G738">
        <v>3175200</v>
      </c>
      <c r="H738">
        <v>17640000</v>
      </c>
      <c r="I738">
        <v>14400000</v>
      </c>
      <c r="J738">
        <v>3240000</v>
      </c>
      <c r="K738" t="s">
        <v>26</v>
      </c>
    </row>
    <row r="739" spans="1:11" x14ac:dyDescent="0.3">
      <c r="A739">
        <v>45664</v>
      </c>
      <c r="B739" t="s">
        <v>16</v>
      </c>
      <c r="C739" t="s">
        <v>11</v>
      </c>
      <c r="D739">
        <v>2</v>
      </c>
      <c r="E739">
        <v>16000000</v>
      </c>
      <c r="F739">
        <v>5</v>
      </c>
      <c r="G739">
        <v>2736000</v>
      </c>
      <c r="H739">
        <v>30400000</v>
      </c>
      <c r="I739">
        <v>25600000</v>
      </c>
      <c r="J739">
        <v>4800000</v>
      </c>
      <c r="K739" t="s">
        <v>26</v>
      </c>
    </row>
    <row r="740" spans="1:11" x14ac:dyDescent="0.3">
      <c r="A740">
        <v>45665</v>
      </c>
      <c r="B740" t="s">
        <v>12</v>
      </c>
      <c r="C740" t="s">
        <v>14</v>
      </c>
      <c r="D740">
        <v>2</v>
      </c>
      <c r="E740">
        <v>17000000</v>
      </c>
      <c r="F740">
        <v>3</v>
      </c>
      <c r="G740">
        <v>2968200</v>
      </c>
      <c r="H740">
        <v>32980000</v>
      </c>
      <c r="I740">
        <v>27200000</v>
      </c>
      <c r="J740">
        <v>5780000</v>
      </c>
      <c r="K740" t="s">
        <v>26</v>
      </c>
    </row>
    <row r="741" spans="1:11" x14ac:dyDescent="0.3">
      <c r="A741">
        <v>45666</v>
      </c>
      <c r="B741" t="s">
        <v>12</v>
      </c>
      <c r="C741" t="s">
        <v>18</v>
      </c>
      <c r="D741">
        <v>2</v>
      </c>
      <c r="E741">
        <v>17000000</v>
      </c>
      <c r="F741">
        <v>3</v>
      </c>
      <c r="G741">
        <v>2968200</v>
      </c>
      <c r="H741">
        <v>32980000</v>
      </c>
      <c r="I741">
        <v>27200000</v>
      </c>
      <c r="J741">
        <v>5780000</v>
      </c>
      <c r="K741" t="s">
        <v>26</v>
      </c>
    </row>
    <row r="742" spans="1:11" x14ac:dyDescent="0.3">
      <c r="A742">
        <v>45667</v>
      </c>
      <c r="B742" t="s">
        <v>12</v>
      </c>
      <c r="C742" t="s">
        <v>14</v>
      </c>
      <c r="D742">
        <v>1</v>
      </c>
      <c r="E742">
        <v>17000000</v>
      </c>
      <c r="F742">
        <v>3</v>
      </c>
      <c r="G742">
        <v>2968200</v>
      </c>
      <c r="H742">
        <v>16490000</v>
      </c>
      <c r="I742">
        <v>13600000</v>
      </c>
      <c r="J742">
        <v>2890000</v>
      </c>
      <c r="K742" t="s">
        <v>26</v>
      </c>
    </row>
    <row r="743" spans="1:11" x14ac:dyDescent="0.3">
      <c r="A743">
        <v>45668</v>
      </c>
      <c r="B743" t="s">
        <v>10</v>
      </c>
      <c r="C743" t="s">
        <v>11</v>
      </c>
      <c r="D743">
        <v>3</v>
      </c>
      <c r="E743">
        <v>9000000</v>
      </c>
      <c r="F743">
        <v>4</v>
      </c>
      <c r="G743">
        <v>1555200</v>
      </c>
      <c r="H743">
        <v>25920000</v>
      </c>
      <c r="I743">
        <v>21600000</v>
      </c>
      <c r="J743">
        <v>4320000</v>
      </c>
      <c r="K743" t="s">
        <v>26</v>
      </c>
    </row>
    <row r="744" spans="1:11" x14ac:dyDescent="0.3">
      <c r="A744">
        <v>45669</v>
      </c>
      <c r="B744" t="s">
        <v>19</v>
      </c>
      <c r="C744" t="s">
        <v>13</v>
      </c>
      <c r="D744">
        <v>2</v>
      </c>
      <c r="E744">
        <v>15000000</v>
      </c>
      <c r="F744">
        <v>6</v>
      </c>
      <c r="G744">
        <v>2538000</v>
      </c>
      <c r="H744">
        <v>28200000</v>
      </c>
      <c r="I744">
        <v>24000000</v>
      </c>
      <c r="J744">
        <v>4200000</v>
      </c>
      <c r="K744" t="s">
        <v>26</v>
      </c>
    </row>
    <row r="745" spans="1:11" x14ac:dyDescent="0.3">
      <c r="A745">
        <v>45670</v>
      </c>
      <c r="B745" t="s">
        <v>19</v>
      </c>
      <c r="C745" t="s">
        <v>18</v>
      </c>
      <c r="D745">
        <v>3</v>
      </c>
      <c r="E745">
        <v>15000000</v>
      </c>
      <c r="F745">
        <v>2</v>
      </c>
      <c r="G745">
        <v>2646000</v>
      </c>
      <c r="H745">
        <v>44100000</v>
      </c>
      <c r="I745">
        <v>36000000</v>
      </c>
      <c r="J745">
        <v>8100000</v>
      </c>
      <c r="K745" t="s">
        <v>26</v>
      </c>
    </row>
    <row r="746" spans="1:11" x14ac:dyDescent="0.3">
      <c r="A746">
        <v>45671</v>
      </c>
      <c r="B746" t="s">
        <v>12</v>
      </c>
      <c r="C746" t="s">
        <v>11</v>
      </c>
      <c r="D746">
        <v>4</v>
      </c>
      <c r="E746">
        <v>17000000</v>
      </c>
      <c r="F746">
        <v>4</v>
      </c>
      <c r="G746">
        <v>2937600</v>
      </c>
      <c r="H746">
        <v>65280000</v>
      </c>
      <c r="I746">
        <v>54400000</v>
      </c>
      <c r="J746">
        <v>10880000</v>
      </c>
      <c r="K746" t="s">
        <v>26</v>
      </c>
    </row>
    <row r="747" spans="1:11" x14ac:dyDescent="0.3">
      <c r="A747">
        <v>45672</v>
      </c>
      <c r="B747" t="s">
        <v>16</v>
      </c>
      <c r="C747" t="s">
        <v>13</v>
      </c>
      <c r="D747">
        <v>1</v>
      </c>
      <c r="E747">
        <v>16000000</v>
      </c>
      <c r="F747">
        <v>6</v>
      </c>
      <c r="G747">
        <v>2707200</v>
      </c>
      <c r="H747">
        <v>15040000</v>
      </c>
      <c r="I747">
        <v>12800000</v>
      </c>
      <c r="J747">
        <v>2240000</v>
      </c>
      <c r="K747" t="s">
        <v>26</v>
      </c>
    </row>
    <row r="748" spans="1:11" x14ac:dyDescent="0.3">
      <c r="A748">
        <v>45673</v>
      </c>
      <c r="B748" t="s">
        <v>10</v>
      </c>
      <c r="C748" t="s">
        <v>14</v>
      </c>
      <c r="D748">
        <v>3</v>
      </c>
      <c r="E748">
        <v>9000000</v>
      </c>
      <c r="F748">
        <v>5</v>
      </c>
      <c r="G748">
        <v>1539000</v>
      </c>
      <c r="H748">
        <v>25650000</v>
      </c>
      <c r="I748">
        <v>21600000</v>
      </c>
      <c r="J748">
        <v>4050000</v>
      </c>
      <c r="K748" t="s">
        <v>26</v>
      </c>
    </row>
    <row r="749" spans="1:11" x14ac:dyDescent="0.3">
      <c r="A749">
        <v>45674</v>
      </c>
      <c r="B749" t="s">
        <v>16</v>
      </c>
      <c r="C749" t="s">
        <v>18</v>
      </c>
      <c r="D749">
        <v>3</v>
      </c>
      <c r="E749">
        <v>16000000</v>
      </c>
      <c r="F749">
        <v>5</v>
      </c>
      <c r="G749">
        <v>2736000</v>
      </c>
      <c r="H749">
        <v>45600000</v>
      </c>
      <c r="I749">
        <v>38400000</v>
      </c>
      <c r="J749">
        <v>7200000</v>
      </c>
      <c r="K749" t="s">
        <v>26</v>
      </c>
    </row>
    <row r="750" spans="1:11" x14ac:dyDescent="0.3">
      <c r="A750">
        <v>45675</v>
      </c>
      <c r="B750" t="s">
        <v>12</v>
      </c>
      <c r="C750" t="s">
        <v>14</v>
      </c>
      <c r="D750">
        <v>2</v>
      </c>
      <c r="E750">
        <v>17000000</v>
      </c>
      <c r="F750">
        <v>2</v>
      </c>
      <c r="G750">
        <v>2998800</v>
      </c>
      <c r="H750">
        <v>33320000</v>
      </c>
      <c r="I750">
        <v>27200000</v>
      </c>
      <c r="J750">
        <v>6120000</v>
      </c>
      <c r="K750" t="s">
        <v>26</v>
      </c>
    </row>
    <row r="751" spans="1:11" x14ac:dyDescent="0.3">
      <c r="A751">
        <v>45676</v>
      </c>
      <c r="B751" t="s">
        <v>12</v>
      </c>
      <c r="C751" t="s">
        <v>14</v>
      </c>
      <c r="D751">
        <v>1</v>
      </c>
      <c r="E751">
        <v>17000000</v>
      </c>
      <c r="F751">
        <v>4</v>
      </c>
      <c r="G751">
        <v>2937600</v>
      </c>
      <c r="H751">
        <v>16320000</v>
      </c>
      <c r="I751">
        <v>13600000</v>
      </c>
      <c r="J751">
        <v>2720000</v>
      </c>
      <c r="K751" t="s">
        <v>26</v>
      </c>
    </row>
    <row r="752" spans="1:11" x14ac:dyDescent="0.3">
      <c r="A752">
        <v>45677</v>
      </c>
      <c r="B752" t="s">
        <v>16</v>
      </c>
      <c r="C752" t="s">
        <v>18</v>
      </c>
      <c r="D752">
        <v>3</v>
      </c>
      <c r="E752">
        <v>16000000</v>
      </c>
      <c r="F752">
        <v>4</v>
      </c>
      <c r="G752">
        <v>2764800</v>
      </c>
      <c r="H752">
        <v>46080000</v>
      </c>
      <c r="I752">
        <v>38400000</v>
      </c>
      <c r="J752">
        <v>7680000</v>
      </c>
      <c r="K752" t="s">
        <v>26</v>
      </c>
    </row>
    <row r="753" spans="1:11" x14ac:dyDescent="0.3">
      <c r="A753">
        <v>45678</v>
      </c>
      <c r="B753" t="s">
        <v>12</v>
      </c>
      <c r="C753" t="s">
        <v>14</v>
      </c>
      <c r="D753">
        <v>3</v>
      </c>
      <c r="E753">
        <v>17000000</v>
      </c>
      <c r="F753">
        <v>5</v>
      </c>
      <c r="G753">
        <v>2907000</v>
      </c>
      <c r="H753">
        <v>48450000</v>
      </c>
      <c r="I753">
        <v>40800000</v>
      </c>
      <c r="J753">
        <v>7650000</v>
      </c>
      <c r="K753" t="s">
        <v>26</v>
      </c>
    </row>
    <row r="754" spans="1:11" x14ac:dyDescent="0.3">
      <c r="A754">
        <v>45679</v>
      </c>
      <c r="B754" t="s">
        <v>19</v>
      </c>
      <c r="C754" t="s">
        <v>17</v>
      </c>
      <c r="D754">
        <v>1</v>
      </c>
      <c r="E754">
        <v>15000000</v>
      </c>
      <c r="F754">
        <v>6</v>
      </c>
      <c r="G754">
        <v>2538000</v>
      </c>
      <c r="H754">
        <v>14100000</v>
      </c>
      <c r="I754">
        <v>12000000</v>
      </c>
      <c r="J754">
        <v>2100000</v>
      </c>
      <c r="K754" t="s">
        <v>26</v>
      </c>
    </row>
    <row r="755" spans="1:11" x14ac:dyDescent="0.3">
      <c r="A755">
        <v>45680</v>
      </c>
      <c r="B755" t="s">
        <v>15</v>
      </c>
      <c r="C755" t="s">
        <v>13</v>
      </c>
      <c r="D755">
        <v>3</v>
      </c>
      <c r="E755">
        <v>18000000</v>
      </c>
      <c r="F755">
        <v>3</v>
      </c>
      <c r="G755">
        <v>3142800</v>
      </c>
      <c r="H755">
        <v>52380000</v>
      </c>
      <c r="I755">
        <v>43200000</v>
      </c>
      <c r="J755">
        <v>9180000</v>
      </c>
      <c r="K755" t="s">
        <v>26</v>
      </c>
    </row>
    <row r="756" spans="1:11" x14ac:dyDescent="0.3">
      <c r="A756">
        <v>45681</v>
      </c>
      <c r="B756" t="s">
        <v>16</v>
      </c>
      <c r="C756" t="s">
        <v>17</v>
      </c>
      <c r="D756">
        <v>4</v>
      </c>
      <c r="E756">
        <v>16000000</v>
      </c>
      <c r="F756">
        <v>6</v>
      </c>
      <c r="G756">
        <v>2707200</v>
      </c>
      <c r="H756">
        <v>60160000</v>
      </c>
      <c r="I756">
        <v>51200000</v>
      </c>
      <c r="J756">
        <v>8960000</v>
      </c>
      <c r="K756" t="s">
        <v>26</v>
      </c>
    </row>
    <row r="757" spans="1:11" x14ac:dyDescent="0.3">
      <c r="A757">
        <v>45682</v>
      </c>
      <c r="B757" t="s">
        <v>10</v>
      </c>
      <c r="C757" t="s">
        <v>17</v>
      </c>
      <c r="D757">
        <v>2</v>
      </c>
      <c r="E757">
        <v>9000000</v>
      </c>
      <c r="F757">
        <v>3</v>
      </c>
      <c r="G757">
        <v>1571400</v>
      </c>
      <c r="H757">
        <v>17460000</v>
      </c>
      <c r="I757">
        <v>14400000</v>
      </c>
      <c r="J757">
        <v>3060000</v>
      </c>
      <c r="K757" t="s">
        <v>26</v>
      </c>
    </row>
    <row r="758" spans="1:11" x14ac:dyDescent="0.3">
      <c r="A758">
        <v>45683</v>
      </c>
      <c r="B758" t="s">
        <v>19</v>
      </c>
      <c r="C758" t="s">
        <v>17</v>
      </c>
      <c r="D758">
        <v>4</v>
      </c>
      <c r="E758">
        <v>15000000</v>
      </c>
      <c r="F758">
        <v>5</v>
      </c>
      <c r="G758">
        <v>2565000</v>
      </c>
      <c r="H758">
        <v>57000000</v>
      </c>
      <c r="I758">
        <v>48000000</v>
      </c>
      <c r="J758">
        <v>9000000</v>
      </c>
      <c r="K758" t="s">
        <v>26</v>
      </c>
    </row>
    <row r="759" spans="1:11" x14ac:dyDescent="0.3">
      <c r="A759">
        <v>45684</v>
      </c>
      <c r="B759" t="s">
        <v>16</v>
      </c>
      <c r="C759" t="s">
        <v>11</v>
      </c>
      <c r="D759">
        <v>2</v>
      </c>
      <c r="E759">
        <v>16000000</v>
      </c>
      <c r="F759">
        <v>4</v>
      </c>
      <c r="G759">
        <v>2764800</v>
      </c>
      <c r="H759">
        <v>30720000</v>
      </c>
      <c r="I759">
        <v>25600000</v>
      </c>
      <c r="J759">
        <v>5120000</v>
      </c>
      <c r="K759" t="s">
        <v>26</v>
      </c>
    </row>
    <row r="760" spans="1:11" x14ac:dyDescent="0.3">
      <c r="A760">
        <v>45685</v>
      </c>
      <c r="B760" t="s">
        <v>16</v>
      </c>
      <c r="C760" t="s">
        <v>14</v>
      </c>
      <c r="D760">
        <v>3</v>
      </c>
      <c r="E760">
        <v>16000000</v>
      </c>
      <c r="F760">
        <v>5</v>
      </c>
      <c r="G760">
        <v>2736000</v>
      </c>
      <c r="H760">
        <v>45600000</v>
      </c>
      <c r="I760">
        <v>38400000</v>
      </c>
      <c r="J760">
        <v>7200000</v>
      </c>
      <c r="K760" t="s">
        <v>26</v>
      </c>
    </row>
    <row r="761" spans="1:11" x14ac:dyDescent="0.3">
      <c r="A761">
        <v>45686</v>
      </c>
      <c r="B761" t="s">
        <v>19</v>
      </c>
      <c r="C761" t="s">
        <v>18</v>
      </c>
      <c r="D761">
        <v>4</v>
      </c>
      <c r="E761">
        <v>15000000</v>
      </c>
      <c r="F761">
        <v>2</v>
      </c>
      <c r="G761">
        <v>2646000</v>
      </c>
      <c r="H761">
        <v>58800000</v>
      </c>
      <c r="I761">
        <v>48000000</v>
      </c>
      <c r="J761">
        <v>10800000</v>
      </c>
      <c r="K761" t="s">
        <v>26</v>
      </c>
    </row>
    <row r="762" spans="1:11" x14ac:dyDescent="0.3">
      <c r="A762">
        <v>45687</v>
      </c>
      <c r="B762" t="s">
        <v>10</v>
      </c>
      <c r="C762" t="s">
        <v>11</v>
      </c>
      <c r="D762">
        <v>2</v>
      </c>
      <c r="E762">
        <v>9000000</v>
      </c>
      <c r="F762">
        <v>6</v>
      </c>
      <c r="G762">
        <v>1522800</v>
      </c>
      <c r="H762">
        <v>16920000</v>
      </c>
      <c r="I762">
        <v>14400000</v>
      </c>
      <c r="J762">
        <v>2520000</v>
      </c>
      <c r="K762" t="s">
        <v>26</v>
      </c>
    </row>
    <row r="763" spans="1:11" x14ac:dyDescent="0.3">
      <c r="A763">
        <v>45688</v>
      </c>
      <c r="B763" t="s">
        <v>12</v>
      </c>
      <c r="C763" t="s">
        <v>14</v>
      </c>
      <c r="D763">
        <v>2</v>
      </c>
      <c r="E763">
        <v>17000000</v>
      </c>
      <c r="F763">
        <v>5</v>
      </c>
      <c r="G763">
        <v>2907000</v>
      </c>
      <c r="H763">
        <v>32300000</v>
      </c>
      <c r="I763">
        <v>27200000</v>
      </c>
      <c r="J763">
        <v>5100000</v>
      </c>
      <c r="K763" t="s">
        <v>26</v>
      </c>
    </row>
    <row r="764" spans="1:11" x14ac:dyDescent="0.3">
      <c r="A764">
        <v>45689</v>
      </c>
      <c r="B764" t="s">
        <v>15</v>
      </c>
      <c r="C764" t="s">
        <v>13</v>
      </c>
      <c r="D764">
        <v>2</v>
      </c>
      <c r="E764">
        <v>18000000</v>
      </c>
      <c r="F764">
        <v>6</v>
      </c>
      <c r="G764">
        <v>3045600</v>
      </c>
      <c r="H764">
        <v>33840000</v>
      </c>
      <c r="I764">
        <v>28800000</v>
      </c>
      <c r="J764">
        <v>5040000</v>
      </c>
      <c r="K764" t="s">
        <v>27</v>
      </c>
    </row>
    <row r="765" spans="1:11" x14ac:dyDescent="0.3">
      <c r="A765">
        <v>45690</v>
      </c>
      <c r="B765" t="s">
        <v>19</v>
      </c>
      <c r="C765" t="s">
        <v>14</v>
      </c>
      <c r="D765">
        <v>1</v>
      </c>
      <c r="E765">
        <v>15000000</v>
      </c>
      <c r="F765">
        <v>4</v>
      </c>
      <c r="G765">
        <v>2592000</v>
      </c>
      <c r="H765">
        <v>14400000</v>
      </c>
      <c r="I765">
        <v>12000000</v>
      </c>
      <c r="J765">
        <v>2400000</v>
      </c>
      <c r="K765" t="s">
        <v>27</v>
      </c>
    </row>
    <row r="766" spans="1:11" x14ac:dyDescent="0.3">
      <c r="A766">
        <v>45691</v>
      </c>
      <c r="B766" t="s">
        <v>10</v>
      </c>
      <c r="C766" t="s">
        <v>11</v>
      </c>
      <c r="D766">
        <v>2</v>
      </c>
      <c r="E766">
        <v>9000000</v>
      </c>
      <c r="F766">
        <v>5</v>
      </c>
      <c r="G766">
        <v>1539000</v>
      </c>
      <c r="H766">
        <v>17100000</v>
      </c>
      <c r="I766">
        <v>14400000</v>
      </c>
      <c r="J766">
        <v>2700000</v>
      </c>
      <c r="K766" t="s">
        <v>27</v>
      </c>
    </row>
    <row r="767" spans="1:11" x14ac:dyDescent="0.3">
      <c r="A767">
        <v>45692</v>
      </c>
      <c r="B767" t="s">
        <v>15</v>
      </c>
      <c r="C767" t="s">
        <v>14</v>
      </c>
      <c r="D767">
        <v>1</v>
      </c>
      <c r="E767">
        <v>18000000</v>
      </c>
      <c r="F767">
        <v>4</v>
      </c>
      <c r="G767">
        <v>3110400</v>
      </c>
      <c r="H767">
        <v>17280000</v>
      </c>
      <c r="I767">
        <v>14400000</v>
      </c>
      <c r="J767">
        <v>2880000</v>
      </c>
      <c r="K767" t="s">
        <v>27</v>
      </c>
    </row>
    <row r="768" spans="1:11" x14ac:dyDescent="0.3">
      <c r="A768">
        <v>45693</v>
      </c>
      <c r="B768" t="s">
        <v>12</v>
      </c>
      <c r="C768" t="s">
        <v>11</v>
      </c>
      <c r="D768">
        <v>2</v>
      </c>
      <c r="E768">
        <v>17000000</v>
      </c>
      <c r="F768">
        <v>3</v>
      </c>
      <c r="G768">
        <v>2968200</v>
      </c>
      <c r="H768">
        <v>32980000</v>
      </c>
      <c r="I768">
        <v>27200000</v>
      </c>
      <c r="J768">
        <v>5780000</v>
      </c>
      <c r="K768" t="s">
        <v>27</v>
      </c>
    </row>
    <row r="769" spans="1:11" x14ac:dyDescent="0.3">
      <c r="A769">
        <v>45694</v>
      </c>
      <c r="B769" t="s">
        <v>10</v>
      </c>
      <c r="C769" t="s">
        <v>11</v>
      </c>
      <c r="D769">
        <v>1</v>
      </c>
      <c r="E769">
        <v>9000000</v>
      </c>
      <c r="F769">
        <v>4</v>
      </c>
      <c r="G769">
        <v>1555200</v>
      </c>
      <c r="H769">
        <v>8640000</v>
      </c>
      <c r="I769">
        <v>7200000</v>
      </c>
      <c r="J769">
        <v>1440000</v>
      </c>
      <c r="K769" t="s">
        <v>27</v>
      </c>
    </row>
    <row r="770" spans="1:11" x14ac:dyDescent="0.3">
      <c r="A770">
        <v>45695</v>
      </c>
      <c r="B770" t="s">
        <v>16</v>
      </c>
      <c r="C770" t="s">
        <v>11</v>
      </c>
      <c r="D770">
        <v>4</v>
      </c>
      <c r="E770">
        <v>16000000</v>
      </c>
      <c r="F770">
        <v>2</v>
      </c>
      <c r="G770">
        <v>2822400</v>
      </c>
      <c r="H770">
        <v>62720000</v>
      </c>
      <c r="I770">
        <v>51200000</v>
      </c>
      <c r="J770">
        <v>11520000</v>
      </c>
      <c r="K770" t="s">
        <v>27</v>
      </c>
    </row>
    <row r="771" spans="1:11" x14ac:dyDescent="0.3">
      <c r="A771">
        <v>45696</v>
      </c>
      <c r="B771" t="s">
        <v>12</v>
      </c>
      <c r="C771" t="s">
        <v>13</v>
      </c>
      <c r="D771">
        <v>3</v>
      </c>
      <c r="E771">
        <v>17000000</v>
      </c>
      <c r="F771">
        <v>3</v>
      </c>
      <c r="G771">
        <v>2968200</v>
      </c>
      <c r="H771">
        <v>49470000</v>
      </c>
      <c r="I771">
        <v>40800000</v>
      </c>
      <c r="J771">
        <v>8670000</v>
      </c>
      <c r="K771" t="s">
        <v>27</v>
      </c>
    </row>
    <row r="772" spans="1:11" x14ac:dyDescent="0.3">
      <c r="A772">
        <v>45697</v>
      </c>
      <c r="B772" t="s">
        <v>12</v>
      </c>
      <c r="C772" t="s">
        <v>17</v>
      </c>
      <c r="D772">
        <v>1</v>
      </c>
      <c r="E772">
        <v>17000000</v>
      </c>
      <c r="F772">
        <v>6</v>
      </c>
      <c r="G772">
        <v>2876400</v>
      </c>
      <c r="H772">
        <v>15980000</v>
      </c>
      <c r="I772">
        <v>13600000</v>
      </c>
      <c r="J772">
        <v>2380000</v>
      </c>
      <c r="K772" t="s">
        <v>27</v>
      </c>
    </row>
    <row r="773" spans="1:11" x14ac:dyDescent="0.3">
      <c r="A773">
        <v>45698</v>
      </c>
      <c r="B773" t="s">
        <v>12</v>
      </c>
      <c r="C773" t="s">
        <v>13</v>
      </c>
      <c r="D773">
        <v>3</v>
      </c>
      <c r="E773">
        <v>17000000</v>
      </c>
      <c r="F773">
        <v>3</v>
      </c>
      <c r="G773">
        <v>2968200</v>
      </c>
      <c r="H773">
        <v>49470000</v>
      </c>
      <c r="I773">
        <v>40800000</v>
      </c>
      <c r="J773">
        <v>8670000</v>
      </c>
      <c r="K773" t="s">
        <v>27</v>
      </c>
    </row>
    <row r="774" spans="1:11" x14ac:dyDescent="0.3">
      <c r="A774">
        <v>45699</v>
      </c>
      <c r="B774" t="s">
        <v>16</v>
      </c>
      <c r="C774" t="s">
        <v>18</v>
      </c>
      <c r="D774">
        <v>3</v>
      </c>
      <c r="E774">
        <v>16000000</v>
      </c>
      <c r="F774">
        <v>6</v>
      </c>
      <c r="G774">
        <v>2707200</v>
      </c>
      <c r="H774">
        <v>45120000</v>
      </c>
      <c r="I774">
        <v>38400000</v>
      </c>
      <c r="J774">
        <v>6720000</v>
      </c>
      <c r="K774" t="s">
        <v>27</v>
      </c>
    </row>
    <row r="775" spans="1:11" x14ac:dyDescent="0.3">
      <c r="A775">
        <v>45700</v>
      </c>
      <c r="B775" t="s">
        <v>19</v>
      </c>
      <c r="C775" t="s">
        <v>13</v>
      </c>
      <c r="D775">
        <v>1</v>
      </c>
      <c r="E775">
        <v>15000000</v>
      </c>
      <c r="F775">
        <v>6</v>
      </c>
      <c r="G775">
        <v>2538000</v>
      </c>
      <c r="H775">
        <v>14100000</v>
      </c>
      <c r="I775">
        <v>12000000</v>
      </c>
      <c r="J775">
        <v>2100000</v>
      </c>
      <c r="K775" t="s">
        <v>27</v>
      </c>
    </row>
    <row r="776" spans="1:11" x14ac:dyDescent="0.3">
      <c r="A776">
        <v>45701</v>
      </c>
      <c r="B776" t="s">
        <v>19</v>
      </c>
      <c r="C776" t="s">
        <v>17</v>
      </c>
      <c r="D776">
        <v>4</v>
      </c>
      <c r="E776">
        <v>15000000</v>
      </c>
      <c r="F776">
        <v>3</v>
      </c>
      <c r="G776">
        <v>2619000</v>
      </c>
      <c r="H776">
        <v>58200000</v>
      </c>
      <c r="I776">
        <v>48000000</v>
      </c>
      <c r="J776">
        <v>10200000</v>
      </c>
      <c r="K776" t="s">
        <v>27</v>
      </c>
    </row>
    <row r="777" spans="1:11" x14ac:dyDescent="0.3">
      <c r="A777">
        <v>45702</v>
      </c>
      <c r="B777" t="s">
        <v>19</v>
      </c>
      <c r="C777" t="s">
        <v>17</v>
      </c>
      <c r="D777">
        <v>1</v>
      </c>
      <c r="E777">
        <v>15000000</v>
      </c>
      <c r="F777">
        <v>2</v>
      </c>
      <c r="G777">
        <v>2646000</v>
      </c>
      <c r="H777">
        <v>14700000</v>
      </c>
      <c r="I777">
        <v>12000000</v>
      </c>
      <c r="J777">
        <v>2700000</v>
      </c>
      <c r="K777" t="s">
        <v>27</v>
      </c>
    </row>
    <row r="778" spans="1:11" x14ac:dyDescent="0.3">
      <c r="A778">
        <v>45703</v>
      </c>
      <c r="B778" t="s">
        <v>16</v>
      </c>
      <c r="C778" t="s">
        <v>11</v>
      </c>
      <c r="D778">
        <v>4</v>
      </c>
      <c r="E778">
        <v>16000000</v>
      </c>
      <c r="F778">
        <v>6</v>
      </c>
      <c r="G778">
        <v>2707200</v>
      </c>
      <c r="H778">
        <v>60160000</v>
      </c>
      <c r="I778">
        <v>51200000</v>
      </c>
      <c r="J778">
        <v>8960000</v>
      </c>
      <c r="K778" t="s">
        <v>27</v>
      </c>
    </row>
    <row r="779" spans="1:11" x14ac:dyDescent="0.3">
      <c r="A779">
        <v>45704</v>
      </c>
      <c r="B779" t="s">
        <v>19</v>
      </c>
      <c r="C779" t="s">
        <v>11</v>
      </c>
      <c r="D779">
        <v>1</v>
      </c>
      <c r="E779">
        <v>15000000</v>
      </c>
      <c r="F779">
        <v>4</v>
      </c>
      <c r="G779">
        <v>2592000</v>
      </c>
      <c r="H779">
        <v>14400000</v>
      </c>
      <c r="I779">
        <v>12000000</v>
      </c>
      <c r="J779">
        <v>2400000</v>
      </c>
      <c r="K779" t="s">
        <v>27</v>
      </c>
    </row>
    <row r="780" spans="1:11" x14ac:dyDescent="0.3">
      <c r="A780">
        <v>45705</v>
      </c>
      <c r="B780" t="s">
        <v>10</v>
      </c>
      <c r="C780" t="s">
        <v>18</v>
      </c>
      <c r="D780">
        <v>4</v>
      </c>
      <c r="E780">
        <v>9000000</v>
      </c>
      <c r="F780">
        <v>3</v>
      </c>
      <c r="G780">
        <v>1571400</v>
      </c>
      <c r="H780">
        <v>34920000</v>
      </c>
      <c r="I780">
        <v>28800000</v>
      </c>
      <c r="J780">
        <v>6120000</v>
      </c>
      <c r="K780" t="s">
        <v>27</v>
      </c>
    </row>
    <row r="781" spans="1:11" x14ac:dyDescent="0.3">
      <c r="A781">
        <v>45706</v>
      </c>
      <c r="B781" t="s">
        <v>12</v>
      </c>
      <c r="C781" t="s">
        <v>18</v>
      </c>
      <c r="D781">
        <v>1</v>
      </c>
      <c r="E781">
        <v>17000000</v>
      </c>
      <c r="F781">
        <v>5</v>
      </c>
      <c r="G781">
        <v>2907000</v>
      </c>
      <c r="H781">
        <v>16150000</v>
      </c>
      <c r="I781">
        <v>13600000</v>
      </c>
      <c r="J781">
        <v>2550000</v>
      </c>
      <c r="K781" t="s">
        <v>27</v>
      </c>
    </row>
    <row r="782" spans="1:11" x14ac:dyDescent="0.3">
      <c r="A782">
        <v>45707</v>
      </c>
      <c r="B782" t="s">
        <v>19</v>
      </c>
      <c r="C782" t="s">
        <v>11</v>
      </c>
      <c r="D782">
        <v>3</v>
      </c>
      <c r="E782">
        <v>15000000</v>
      </c>
      <c r="F782">
        <v>3</v>
      </c>
      <c r="G782">
        <v>2619000</v>
      </c>
      <c r="H782">
        <v>43650000</v>
      </c>
      <c r="I782">
        <v>36000000</v>
      </c>
      <c r="J782">
        <v>7650000</v>
      </c>
      <c r="K782" t="s">
        <v>27</v>
      </c>
    </row>
    <row r="783" spans="1:11" x14ac:dyDescent="0.3">
      <c r="A783">
        <v>45708</v>
      </c>
      <c r="B783" t="s">
        <v>19</v>
      </c>
      <c r="C783" t="s">
        <v>13</v>
      </c>
      <c r="D783">
        <v>4</v>
      </c>
      <c r="E783">
        <v>15000000</v>
      </c>
      <c r="F783">
        <v>3</v>
      </c>
      <c r="G783">
        <v>2619000</v>
      </c>
      <c r="H783">
        <v>58200000</v>
      </c>
      <c r="I783">
        <v>48000000</v>
      </c>
      <c r="J783">
        <v>10200000</v>
      </c>
      <c r="K783" t="s">
        <v>27</v>
      </c>
    </row>
    <row r="784" spans="1:11" x14ac:dyDescent="0.3">
      <c r="A784">
        <v>45709</v>
      </c>
      <c r="B784" t="s">
        <v>15</v>
      </c>
      <c r="C784" t="s">
        <v>11</v>
      </c>
      <c r="D784">
        <v>3</v>
      </c>
      <c r="E784">
        <v>18000000</v>
      </c>
      <c r="F784">
        <v>3</v>
      </c>
      <c r="G784">
        <v>3142800</v>
      </c>
      <c r="H784">
        <v>52380000</v>
      </c>
      <c r="I784">
        <v>43200000</v>
      </c>
      <c r="J784">
        <v>9180000</v>
      </c>
      <c r="K784" t="s">
        <v>27</v>
      </c>
    </row>
    <row r="785" spans="1:11" x14ac:dyDescent="0.3">
      <c r="A785">
        <v>45710</v>
      </c>
      <c r="B785" t="s">
        <v>12</v>
      </c>
      <c r="C785" t="s">
        <v>18</v>
      </c>
      <c r="D785">
        <v>3</v>
      </c>
      <c r="E785">
        <v>17000000</v>
      </c>
      <c r="F785">
        <v>6</v>
      </c>
      <c r="G785">
        <v>2876400</v>
      </c>
      <c r="H785">
        <v>47940000</v>
      </c>
      <c r="I785">
        <v>40800000</v>
      </c>
      <c r="J785">
        <v>7140000</v>
      </c>
      <c r="K785" t="s">
        <v>27</v>
      </c>
    </row>
    <row r="786" spans="1:11" x14ac:dyDescent="0.3">
      <c r="A786">
        <v>45711</v>
      </c>
      <c r="B786" t="s">
        <v>19</v>
      </c>
      <c r="C786" t="s">
        <v>14</v>
      </c>
      <c r="D786">
        <v>2</v>
      </c>
      <c r="E786">
        <v>15000000</v>
      </c>
      <c r="F786">
        <v>5</v>
      </c>
      <c r="G786">
        <v>2565000</v>
      </c>
      <c r="H786">
        <v>28500000</v>
      </c>
      <c r="I786">
        <v>24000000</v>
      </c>
      <c r="J786">
        <v>4500000</v>
      </c>
      <c r="K786" t="s">
        <v>27</v>
      </c>
    </row>
    <row r="787" spans="1:11" x14ac:dyDescent="0.3">
      <c r="A787">
        <v>45712</v>
      </c>
      <c r="B787" t="s">
        <v>15</v>
      </c>
      <c r="C787" t="s">
        <v>17</v>
      </c>
      <c r="D787">
        <v>4</v>
      </c>
      <c r="E787">
        <v>18000000</v>
      </c>
      <c r="F787">
        <v>6</v>
      </c>
      <c r="G787">
        <v>3045600</v>
      </c>
      <c r="H787">
        <v>67680000</v>
      </c>
      <c r="I787">
        <v>57600000</v>
      </c>
      <c r="J787">
        <v>10080000</v>
      </c>
      <c r="K787" t="s">
        <v>27</v>
      </c>
    </row>
    <row r="788" spans="1:11" x14ac:dyDescent="0.3">
      <c r="A788">
        <v>45713</v>
      </c>
      <c r="B788" t="s">
        <v>16</v>
      </c>
      <c r="C788" t="s">
        <v>14</v>
      </c>
      <c r="D788">
        <v>4</v>
      </c>
      <c r="E788">
        <v>16000000</v>
      </c>
      <c r="F788">
        <v>2</v>
      </c>
      <c r="G788">
        <v>2822400</v>
      </c>
      <c r="H788">
        <v>62720000</v>
      </c>
      <c r="I788">
        <v>51200000</v>
      </c>
      <c r="J788">
        <v>11520000</v>
      </c>
      <c r="K788" t="s">
        <v>27</v>
      </c>
    </row>
    <row r="789" spans="1:11" x14ac:dyDescent="0.3">
      <c r="A789">
        <v>45714</v>
      </c>
      <c r="B789" t="s">
        <v>16</v>
      </c>
      <c r="C789" t="s">
        <v>17</v>
      </c>
      <c r="D789">
        <v>2</v>
      </c>
      <c r="E789">
        <v>16000000</v>
      </c>
      <c r="F789">
        <v>3</v>
      </c>
      <c r="G789">
        <v>2793600</v>
      </c>
      <c r="H789">
        <v>31040000</v>
      </c>
      <c r="I789">
        <v>25600000</v>
      </c>
      <c r="J789">
        <v>5440000</v>
      </c>
      <c r="K789" t="s">
        <v>27</v>
      </c>
    </row>
    <row r="790" spans="1:11" x14ac:dyDescent="0.3">
      <c r="A790">
        <v>45715</v>
      </c>
      <c r="B790" t="s">
        <v>16</v>
      </c>
      <c r="C790" t="s">
        <v>18</v>
      </c>
      <c r="D790">
        <v>1</v>
      </c>
      <c r="E790">
        <v>16000000</v>
      </c>
      <c r="F790">
        <v>2</v>
      </c>
      <c r="G790">
        <v>2822400</v>
      </c>
      <c r="H790">
        <v>15680000</v>
      </c>
      <c r="I790">
        <v>12800000</v>
      </c>
      <c r="J790">
        <v>2880000</v>
      </c>
      <c r="K790" t="s">
        <v>27</v>
      </c>
    </row>
    <row r="791" spans="1:11" x14ac:dyDescent="0.3">
      <c r="A791">
        <v>45716</v>
      </c>
      <c r="B791" t="s">
        <v>12</v>
      </c>
      <c r="C791" t="s">
        <v>11</v>
      </c>
      <c r="D791">
        <v>4</v>
      </c>
      <c r="E791">
        <v>17000000</v>
      </c>
      <c r="F791">
        <v>6</v>
      </c>
      <c r="G791">
        <v>2876400</v>
      </c>
      <c r="H791">
        <v>63920000</v>
      </c>
      <c r="I791">
        <v>54400000</v>
      </c>
      <c r="J791">
        <v>9520000</v>
      </c>
      <c r="K791" t="s">
        <v>27</v>
      </c>
    </row>
    <row r="792" spans="1:11" x14ac:dyDescent="0.3">
      <c r="A792">
        <v>45717</v>
      </c>
      <c r="B792" t="s">
        <v>19</v>
      </c>
      <c r="C792" t="s">
        <v>11</v>
      </c>
      <c r="D792">
        <v>4</v>
      </c>
      <c r="E792">
        <v>15000000</v>
      </c>
      <c r="F792">
        <v>4</v>
      </c>
      <c r="G792">
        <v>2592000</v>
      </c>
      <c r="H792">
        <v>57600000</v>
      </c>
      <c r="I792">
        <v>48000000</v>
      </c>
      <c r="J792">
        <v>9600000</v>
      </c>
      <c r="K792" t="s">
        <v>28</v>
      </c>
    </row>
    <row r="793" spans="1:11" x14ac:dyDescent="0.3">
      <c r="A793">
        <v>45718</v>
      </c>
      <c r="B793" t="s">
        <v>15</v>
      </c>
      <c r="C793" t="s">
        <v>17</v>
      </c>
      <c r="D793">
        <v>4</v>
      </c>
      <c r="E793">
        <v>18000000</v>
      </c>
      <c r="F793">
        <v>5</v>
      </c>
      <c r="G793">
        <v>3078000</v>
      </c>
      <c r="H793">
        <v>68400000</v>
      </c>
      <c r="I793">
        <v>57600000</v>
      </c>
      <c r="J793">
        <v>10800000</v>
      </c>
      <c r="K793" t="s">
        <v>28</v>
      </c>
    </row>
    <row r="794" spans="1:11" x14ac:dyDescent="0.3">
      <c r="A794">
        <v>45719</v>
      </c>
      <c r="B794" t="s">
        <v>12</v>
      </c>
      <c r="C794" t="s">
        <v>13</v>
      </c>
      <c r="D794">
        <v>1</v>
      </c>
      <c r="E794">
        <v>17000000</v>
      </c>
      <c r="F794">
        <v>2</v>
      </c>
      <c r="G794">
        <v>2998800</v>
      </c>
      <c r="H794">
        <v>16660000</v>
      </c>
      <c r="I794">
        <v>13600000</v>
      </c>
      <c r="J794">
        <v>3060000</v>
      </c>
      <c r="K794" t="s">
        <v>28</v>
      </c>
    </row>
    <row r="795" spans="1:11" x14ac:dyDescent="0.3">
      <c r="A795">
        <v>45720</v>
      </c>
      <c r="B795" t="s">
        <v>12</v>
      </c>
      <c r="C795" t="s">
        <v>14</v>
      </c>
      <c r="D795">
        <v>3</v>
      </c>
      <c r="E795">
        <v>17000000</v>
      </c>
      <c r="F795">
        <v>6</v>
      </c>
      <c r="G795">
        <v>2876400</v>
      </c>
      <c r="H795">
        <v>47940000</v>
      </c>
      <c r="I795">
        <v>40800000</v>
      </c>
      <c r="J795">
        <v>7140000</v>
      </c>
      <c r="K795" t="s">
        <v>28</v>
      </c>
    </row>
    <row r="796" spans="1:11" x14ac:dyDescent="0.3">
      <c r="A796">
        <v>45721</v>
      </c>
      <c r="B796" t="s">
        <v>16</v>
      </c>
      <c r="C796" t="s">
        <v>17</v>
      </c>
      <c r="D796">
        <v>2</v>
      </c>
      <c r="E796">
        <v>16000000</v>
      </c>
      <c r="F796">
        <v>4</v>
      </c>
      <c r="G796">
        <v>2764800</v>
      </c>
      <c r="H796">
        <v>30720000</v>
      </c>
      <c r="I796">
        <v>25600000</v>
      </c>
      <c r="J796">
        <v>5120000</v>
      </c>
      <c r="K796" t="s">
        <v>28</v>
      </c>
    </row>
    <row r="797" spans="1:11" x14ac:dyDescent="0.3">
      <c r="A797">
        <v>45722</v>
      </c>
      <c r="B797" t="s">
        <v>15</v>
      </c>
      <c r="C797" t="s">
        <v>11</v>
      </c>
      <c r="D797">
        <v>4</v>
      </c>
      <c r="E797">
        <v>18000000</v>
      </c>
      <c r="F797">
        <v>4</v>
      </c>
      <c r="G797">
        <v>3110400</v>
      </c>
      <c r="H797">
        <v>69120000</v>
      </c>
      <c r="I797">
        <v>57600000</v>
      </c>
      <c r="J797">
        <v>11520000</v>
      </c>
      <c r="K797" t="s">
        <v>28</v>
      </c>
    </row>
    <row r="798" spans="1:11" x14ac:dyDescent="0.3">
      <c r="A798">
        <v>45723</v>
      </c>
      <c r="B798" t="s">
        <v>19</v>
      </c>
      <c r="C798" t="s">
        <v>18</v>
      </c>
      <c r="D798">
        <v>3</v>
      </c>
      <c r="E798">
        <v>15000000</v>
      </c>
      <c r="F798">
        <v>5</v>
      </c>
      <c r="G798">
        <v>2565000</v>
      </c>
      <c r="H798">
        <v>42750000</v>
      </c>
      <c r="I798">
        <v>36000000</v>
      </c>
      <c r="J798">
        <v>6750000</v>
      </c>
      <c r="K798" t="s">
        <v>28</v>
      </c>
    </row>
    <row r="799" spans="1:11" x14ac:dyDescent="0.3">
      <c r="A799">
        <v>45724</v>
      </c>
      <c r="B799" t="s">
        <v>19</v>
      </c>
      <c r="C799" t="s">
        <v>17</v>
      </c>
      <c r="D799">
        <v>4</v>
      </c>
      <c r="E799">
        <v>15000000</v>
      </c>
      <c r="F799">
        <v>6</v>
      </c>
      <c r="G799">
        <v>2538000</v>
      </c>
      <c r="H799">
        <v>56400000</v>
      </c>
      <c r="I799">
        <v>48000000</v>
      </c>
      <c r="J799">
        <v>8400000</v>
      </c>
      <c r="K799" t="s">
        <v>28</v>
      </c>
    </row>
    <row r="800" spans="1:11" x14ac:dyDescent="0.3">
      <c r="A800">
        <v>45725</v>
      </c>
      <c r="B800" t="s">
        <v>10</v>
      </c>
      <c r="C800" t="s">
        <v>14</v>
      </c>
      <c r="D800">
        <v>4</v>
      </c>
      <c r="E800">
        <v>9000000</v>
      </c>
      <c r="F800">
        <v>2</v>
      </c>
      <c r="G800">
        <v>1587600</v>
      </c>
      <c r="H800">
        <v>35280000</v>
      </c>
      <c r="I800">
        <v>28800000</v>
      </c>
      <c r="J800">
        <v>6480000</v>
      </c>
      <c r="K800" t="s">
        <v>28</v>
      </c>
    </row>
    <row r="801" spans="1:11" x14ac:dyDescent="0.3">
      <c r="A801">
        <v>45726</v>
      </c>
      <c r="B801" t="s">
        <v>16</v>
      </c>
      <c r="C801" t="s">
        <v>14</v>
      </c>
      <c r="D801">
        <v>3</v>
      </c>
      <c r="E801">
        <v>16000000</v>
      </c>
      <c r="F801">
        <v>3</v>
      </c>
      <c r="G801">
        <v>2793600</v>
      </c>
      <c r="H801">
        <v>46560000</v>
      </c>
      <c r="I801">
        <v>38400000</v>
      </c>
      <c r="J801">
        <v>8160000</v>
      </c>
      <c r="K801" t="s">
        <v>28</v>
      </c>
    </row>
    <row r="802" spans="1:11" x14ac:dyDescent="0.3">
      <c r="A802">
        <v>45727</v>
      </c>
      <c r="B802" t="s">
        <v>10</v>
      </c>
      <c r="C802" t="s">
        <v>11</v>
      </c>
      <c r="D802">
        <v>3</v>
      </c>
      <c r="E802">
        <v>9000000</v>
      </c>
      <c r="F802">
        <v>2</v>
      </c>
      <c r="G802">
        <v>1587600</v>
      </c>
      <c r="H802">
        <v>26460000</v>
      </c>
      <c r="I802">
        <v>21600000</v>
      </c>
      <c r="J802">
        <v>4860000</v>
      </c>
      <c r="K802" t="s">
        <v>28</v>
      </c>
    </row>
    <row r="803" spans="1:11" x14ac:dyDescent="0.3">
      <c r="A803">
        <v>45728</v>
      </c>
      <c r="B803" t="s">
        <v>16</v>
      </c>
      <c r="C803" t="s">
        <v>11</v>
      </c>
      <c r="D803">
        <v>3</v>
      </c>
      <c r="E803">
        <v>16000000</v>
      </c>
      <c r="F803">
        <v>5</v>
      </c>
      <c r="G803">
        <v>2736000</v>
      </c>
      <c r="H803">
        <v>45600000</v>
      </c>
      <c r="I803">
        <v>38400000</v>
      </c>
      <c r="J803">
        <v>7200000</v>
      </c>
      <c r="K803" t="s">
        <v>28</v>
      </c>
    </row>
    <row r="804" spans="1:11" x14ac:dyDescent="0.3">
      <c r="A804">
        <v>45729</v>
      </c>
      <c r="B804" t="s">
        <v>15</v>
      </c>
      <c r="C804" t="s">
        <v>11</v>
      </c>
      <c r="D804">
        <v>1</v>
      </c>
      <c r="E804">
        <v>18000000</v>
      </c>
      <c r="F804">
        <v>6</v>
      </c>
      <c r="G804">
        <v>3045600</v>
      </c>
      <c r="H804">
        <v>16920000</v>
      </c>
      <c r="I804">
        <v>14400000</v>
      </c>
      <c r="J804">
        <v>2520000</v>
      </c>
      <c r="K804" t="s">
        <v>28</v>
      </c>
    </row>
    <row r="805" spans="1:11" x14ac:dyDescent="0.3">
      <c r="A805">
        <v>45730</v>
      </c>
      <c r="B805" t="s">
        <v>12</v>
      </c>
      <c r="C805" t="s">
        <v>14</v>
      </c>
      <c r="D805">
        <v>4</v>
      </c>
      <c r="E805">
        <v>17000000</v>
      </c>
      <c r="F805">
        <v>6</v>
      </c>
      <c r="G805">
        <v>2876400</v>
      </c>
      <c r="H805">
        <v>63920000</v>
      </c>
      <c r="I805">
        <v>54400000</v>
      </c>
      <c r="J805">
        <v>9520000</v>
      </c>
      <c r="K805" t="s">
        <v>28</v>
      </c>
    </row>
    <row r="806" spans="1:11" x14ac:dyDescent="0.3">
      <c r="A806">
        <v>45731</v>
      </c>
      <c r="B806" t="s">
        <v>19</v>
      </c>
      <c r="C806" t="s">
        <v>18</v>
      </c>
      <c r="D806">
        <v>4</v>
      </c>
      <c r="E806">
        <v>15000000</v>
      </c>
      <c r="F806">
        <v>2</v>
      </c>
      <c r="G806">
        <v>2646000</v>
      </c>
      <c r="H806">
        <v>58800000</v>
      </c>
      <c r="I806">
        <v>48000000</v>
      </c>
      <c r="J806">
        <v>10800000</v>
      </c>
      <c r="K806" t="s">
        <v>28</v>
      </c>
    </row>
    <row r="807" spans="1:11" x14ac:dyDescent="0.3">
      <c r="A807">
        <v>45732</v>
      </c>
      <c r="B807" t="s">
        <v>16</v>
      </c>
      <c r="C807" t="s">
        <v>17</v>
      </c>
      <c r="D807">
        <v>3</v>
      </c>
      <c r="E807">
        <v>16000000</v>
      </c>
      <c r="F807">
        <v>2</v>
      </c>
      <c r="G807">
        <v>2822400</v>
      </c>
      <c r="H807">
        <v>47040000</v>
      </c>
      <c r="I807">
        <v>38400000</v>
      </c>
      <c r="J807">
        <v>8640000</v>
      </c>
      <c r="K807" t="s">
        <v>28</v>
      </c>
    </row>
    <row r="808" spans="1:11" x14ac:dyDescent="0.3">
      <c r="A808">
        <v>45733</v>
      </c>
      <c r="B808" t="s">
        <v>16</v>
      </c>
      <c r="C808" t="s">
        <v>13</v>
      </c>
      <c r="D808">
        <v>1</v>
      </c>
      <c r="E808">
        <v>16000000</v>
      </c>
      <c r="F808">
        <v>3</v>
      </c>
      <c r="G808">
        <v>2793600</v>
      </c>
      <c r="H808">
        <v>15520000</v>
      </c>
      <c r="I808">
        <v>12800000</v>
      </c>
      <c r="J808">
        <v>2720000</v>
      </c>
      <c r="K808" t="s">
        <v>28</v>
      </c>
    </row>
    <row r="809" spans="1:11" x14ac:dyDescent="0.3">
      <c r="A809">
        <v>45734</v>
      </c>
      <c r="B809" t="s">
        <v>15</v>
      </c>
      <c r="C809" t="s">
        <v>13</v>
      </c>
      <c r="D809">
        <v>2</v>
      </c>
      <c r="E809">
        <v>18000000</v>
      </c>
      <c r="F809">
        <v>4</v>
      </c>
      <c r="G809">
        <v>3110400</v>
      </c>
      <c r="H809">
        <v>34560000</v>
      </c>
      <c r="I809">
        <v>28800000</v>
      </c>
      <c r="J809">
        <v>5760000</v>
      </c>
      <c r="K809" t="s">
        <v>28</v>
      </c>
    </row>
    <row r="810" spans="1:11" x14ac:dyDescent="0.3">
      <c r="A810">
        <v>45735</v>
      </c>
      <c r="B810" t="s">
        <v>16</v>
      </c>
      <c r="C810" t="s">
        <v>14</v>
      </c>
      <c r="D810">
        <v>2</v>
      </c>
      <c r="E810">
        <v>16000000</v>
      </c>
      <c r="F810">
        <v>5</v>
      </c>
      <c r="G810">
        <v>2736000</v>
      </c>
      <c r="H810">
        <v>30400000</v>
      </c>
      <c r="I810">
        <v>25600000</v>
      </c>
      <c r="J810">
        <v>4800000</v>
      </c>
      <c r="K810" t="s">
        <v>28</v>
      </c>
    </row>
    <row r="811" spans="1:11" x14ac:dyDescent="0.3">
      <c r="A811">
        <v>45736</v>
      </c>
      <c r="B811" t="s">
        <v>19</v>
      </c>
      <c r="C811" t="s">
        <v>18</v>
      </c>
      <c r="D811">
        <v>2</v>
      </c>
      <c r="E811">
        <v>15000000</v>
      </c>
      <c r="F811">
        <v>5</v>
      </c>
      <c r="G811">
        <v>2565000</v>
      </c>
      <c r="H811">
        <v>28500000</v>
      </c>
      <c r="I811">
        <v>24000000</v>
      </c>
      <c r="J811">
        <v>4500000</v>
      </c>
      <c r="K811" t="s">
        <v>28</v>
      </c>
    </row>
    <row r="812" spans="1:11" x14ac:dyDescent="0.3">
      <c r="A812">
        <v>45737</v>
      </c>
      <c r="B812" t="s">
        <v>16</v>
      </c>
      <c r="C812" t="s">
        <v>17</v>
      </c>
      <c r="D812">
        <v>3</v>
      </c>
      <c r="E812">
        <v>16000000</v>
      </c>
      <c r="F812">
        <v>6</v>
      </c>
      <c r="G812">
        <v>2707200</v>
      </c>
      <c r="H812">
        <v>45120000</v>
      </c>
      <c r="I812">
        <v>38400000</v>
      </c>
      <c r="J812">
        <v>6720000</v>
      </c>
      <c r="K812" t="s">
        <v>28</v>
      </c>
    </row>
    <row r="813" spans="1:11" x14ac:dyDescent="0.3">
      <c r="A813">
        <v>45738</v>
      </c>
      <c r="B813" t="s">
        <v>16</v>
      </c>
      <c r="C813" t="s">
        <v>17</v>
      </c>
      <c r="D813">
        <v>1</v>
      </c>
      <c r="E813">
        <v>16000000</v>
      </c>
      <c r="F813">
        <v>3</v>
      </c>
      <c r="G813">
        <v>2793600</v>
      </c>
      <c r="H813">
        <v>15520000</v>
      </c>
      <c r="I813">
        <v>12800000</v>
      </c>
      <c r="J813">
        <v>2720000</v>
      </c>
      <c r="K813" t="s">
        <v>28</v>
      </c>
    </row>
    <row r="814" spans="1:11" x14ac:dyDescent="0.3">
      <c r="A814">
        <v>45739</v>
      </c>
      <c r="B814" t="s">
        <v>12</v>
      </c>
      <c r="C814" t="s">
        <v>18</v>
      </c>
      <c r="D814">
        <v>3</v>
      </c>
      <c r="E814">
        <v>17000000</v>
      </c>
      <c r="F814">
        <v>3</v>
      </c>
      <c r="G814">
        <v>2968200</v>
      </c>
      <c r="H814">
        <v>49470000</v>
      </c>
      <c r="I814">
        <v>40800000</v>
      </c>
      <c r="J814">
        <v>8670000</v>
      </c>
      <c r="K814" t="s">
        <v>28</v>
      </c>
    </row>
    <row r="815" spans="1:11" x14ac:dyDescent="0.3">
      <c r="A815">
        <v>45740</v>
      </c>
      <c r="B815" t="s">
        <v>16</v>
      </c>
      <c r="C815" t="s">
        <v>14</v>
      </c>
      <c r="D815">
        <v>2</v>
      </c>
      <c r="E815">
        <v>16000000</v>
      </c>
      <c r="F815">
        <v>5</v>
      </c>
      <c r="G815">
        <v>2736000</v>
      </c>
      <c r="H815">
        <v>30400000</v>
      </c>
      <c r="I815">
        <v>25600000</v>
      </c>
      <c r="J815">
        <v>4800000</v>
      </c>
      <c r="K815" t="s">
        <v>28</v>
      </c>
    </row>
    <row r="816" spans="1:11" x14ac:dyDescent="0.3">
      <c r="A816">
        <v>45741</v>
      </c>
      <c r="B816" t="s">
        <v>16</v>
      </c>
      <c r="C816" t="s">
        <v>11</v>
      </c>
      <c r="D816">
        <v>2</v>
      </c>
      <c r="E816">
        <v>16000000</v>
      </c>
      <c r="F816">
        <v>3</v>
      </c>
      <c r="G816">
        <v>2793600</v>
      </c>
      <c r="H816">
        <v>31040000</v>
      </c>
      <c r="I816">
        <v>25600000</v>
      </c>
      <c r="J816">
        <v>5440000</v>
      </c>
      <c r="K816" t="s">
        <v>28</v>
      </c>
    </row>
    <row r="817" spans="1:11" x14ac:dyDescent="0.3">
      <c r="A817">
        <v>45742</v>
      </c>
      <c r="B817" t="s">
        <v>10</v>
      </c>
      <c r="C817" t="s">
        <v>14</v>
      </c>
      <c r="D817">
        <v>2</v>
      </c>
      <c r="E817">
        <v>9000000</v>
      </c>
      <c r="F817">
        <v>3</v>
      </c>
      <c r="G817">
        <v>1571400</v>
      </c>
      <c r="H817">
        <v>17460000</v>
      </c>
      <c r="I817">
        <v>14400000</v>
      </c>
      <c r="J817">
        <v>3060000</v>
      </c>
      <c r="K817" t="s">
        <v>28</v>
      </c>
    </row>
    <row r="818" spans="1:11" x14ac:dyDescent="0.3">
      <c r="A818">
        <v>45743</v>
      </c>
      <c r="B818" t="s">
        <v>10</v>
      </c>
      <c r="C818" t="s">
        <v>14</v>
      </c>
      <c r="D818">
        <v>1</v>
      </c>
      <c r="E818">
        <v>9000000</v>
      </c>
      <c r="F818">
        <v>6</v>
      </c>
      <c r="G818">
        <v>1522800</v>
      </c>
      <c r="H818">
        <v>8460000</v>
      </c>
      <c r="I818">
        <v>7200000</v>
      </c>
      <c r="J818">
        <v>1260000</v>
      </c>
      <c r="K818" t="s">
        <v>28</v>
      </c>
    </row>
    <row r="819" spans="1:11" x14ac:dyDescent="0.3">
      <c r="A819">
        <v>45744</v>
      </c>
      <c r="B819" t="s">
        <v>19</v>
      </c>
      <c r="C819" t="s">
        <v>14</v>
      </c>
      <c r="D819">
        <v>1</v>
      </c>
      <c r="E819">
        <v>15000000</v>
      </c>
      <c r="F819">
        <v>5</v>
      </c>
      <c r="G819">
        <v>2565000</v>
      </c>
      <c r="H819">
        <v>14250000</v>
      </c>
      <c r="I819">
        <v>12000000</v>
      </c>
      <c r="J819">
        <v>2250000</v>
      </c>
      <c r="K819" t="s">
        <v>28</v>
      </c>
    </row>
    <row r="820" spans="1:11" x14ac:dyDescent="0.3">
      <c r="A820">
        <v>45745</v>
      </c>
      <c r="B820" t="s">
        <v>10</v>
      </c>
      <c r="C820" t="s">
        <v>13</v>
      </c>
      <c r="D820">
        <v>1</v>
      </c>
      <c r="E820">
        <v>9000000</v>
      </c>
      <c r="F820">
        <v>6</v>
      </c>
      <c r="G820">
        <v>1522800</v>
      </c>
      <c r="H820">
        <v>8460000</v>
      </c>
      <c r="I820">
        <v>7200000</v>
      </c>
      <c r="J820">
        <v>1260000</v>
      </c>
      <c r="K820" t="s">
        <v>28</v>
      </c>
    </row>
    <row r="821" spans="1:11" x14ac:dyDescent="0.3">
      <c r="A821">
        <v>45746</v>
      </c>
      <c r="B821" t="s">
        <v>12</v>
      </c>
      <c r="C821" t="s">
        <v>13</v>
      </c>
      <c r="D821">
        <v>3</v>
      </c>
      <c r="E821">
        <v>17000000</v>
      </c>
      <c r="F821">
        <v>3</v>
      </c>
      <c r="G821">
        <v>2968200</v>
      </c>
      <c r="H821">
        <v>49470000</v>
      </c>
      <c r="I821">
        <v>40800000</v>
      </c>
      <c r="J821">
        <v>8670000</v>
      </c>
      <c r="K821" t="s">
        <v>28</v>
      </c>
    </row>
    <row r="822" spans="1:11" x14ac:dyDescent="0.3">
      <c r="A822">
        <v>45747</v>
      </c>
      <c r="B822" t="s">
        <v>16</v>
      </c>
      <c r="C822" t="s">
        <v>17</v>
      </c>
      <c r="D822">
        <v>1</v>
      </c>
      <c r="E822">
        <v>16000000</v>
      </c>
      <c r="F822">
        <v>6</v>
      </c>
      <c r="G822">
        <v>2707200</v>
      </c>
      <c r="H822">
        <v>15040000</v>
      </c>
      <c r="I822">
        <v>12800000</v>
      </c>
      <c r="J822">
        <v>2240000</v>
      </c>
      <c r="K822" t="s">
        <v>28</v>
      </c>
    </row>
    <row r="823" spans="1:11" x14ac:dyDescent="0.3">
      <c r="A823">
        <v>45748</v>
      </c>
      <c r="B823" t="s">
        <v>19</v>
      </c>
      <c r="C823" t="s">
        <v>14</v>
      </c>
      <c r="D823">
        <v>2</v>
      </c>
      <c r="E823">
        <v>15000000</v>
      </c>
      <c r="F823">
        <v>4</v>
      </c>
      <c r="G823">
        <v>2592000</v>
      </c>
      <c r="H823">
        <v>28800000</v>
      </c>
      <c r="I823">
        <v>24000000</v>
      </c>
      <c r="J823">
        <v>4800000</v>
      </c>
      <c r="K823" t="s">
        <v>29</v>
      </c>
    </row>
    <row r="824" spans="1:11" x14ac:dyDescent="0.3">
      <c r="A824">
        <v>45749</v>
      </c>
      <c r="B824" t="s">
        <v>16</v>
      </c>
      <c r="C824" t="s">
        <v>11</v>
      </c>
      <c r="D824">
        <v>3</v>
      </c>
      <c r="E824">
        <v>16000000</v>
      </c>
      <c r="F824">
        <v>6</v>
      </c>
      <c r="G824">
        <v>2707200</v>
      </c>
      <c r="H824">
        <v>45120000</v>
      </c>
      <c r="I824">
        <v>38400000</v>
      </c>
      <c r="J824">
        <v>6720000</v>
      </c>
      <c r="K824" t="s">
        <v>29</v>
      </c>
    </row>
    <row r="825" spans="1:11" x14ac:dyDescent="0.3">
      <c r="A825">
        <v>45750</v>
      </c>
      <c r="B825" t="s">
        <v>15</v>
      </c>
      <c r="C825" t="s">
        <v>11</v>
      </c>
      <c r="D825">
        <v>1</v>
      </c>
      <c r="E825">
        <v>18000000</v>
      </c>
      <c r="F825">
        <v>2</v>
      </c>
      <c r="G825">
        <v>3175200</v>
      </c>
      <c r="H825">
        <v>17640000</v>
      </c>
      <c r="I825">
        <v>14400000</v>
      </c>
      <c r="J825">
        <v>3240000</v>
      </c>
      <c r="K825" t="s">
        <v>29</v>
      </c>
    </row>
    <row r="826" spans="1:11" x14ac:dyDescent="0.3">
      <c r="A826">
        <v>45751</v>
      </c>
      <c r="B826" t="s">
        <v>19</v>
      </c>
      <c r="C826" t="s">
        <v>14</v>
      </c>
      <c r="D826">
        <v>4</v>
      </c>
      <c r="E826">
        <v>15000000</v>
      </c>
      <c r="F826">
        <v>5</v>
      </c>
      <c r="G826">
        <v>2565000</v>
      </c>
      <c r="H826">
        <v>57000000</v>
      </c>
      <c r="I826">
        <v>48000000</v>
      </c>
      <c r="J826">
        <v>9000000</v>
      </c>
      <c r="K826" t="s">
        <v>29</v>
      </c>
    </row>
    <row r="827" spans="1:11" x14ac:dyDescent="0.3">
      <c r="A827">
        <v>45752</v>
      </c>
      <c r="B827" t="s">
        <v>16</v>
      </c>
      <c r="C827" t="s">
        <v>17</v>
      </c>
      <c r="D827">
        <v>2</v>
      </c>
      <c r="E827">
        <v>16000000</v>
      </c>
      <c r="F827">
        <v>6</v>
      </c>
      <c r="G827">
        <v>2707200</v>
      </c>
      <c r="H827">
        <v>30080000</v>
      </c>
      <c r="I827">
        <v>25600000</v>
      </c>
      <c r="J827">
        <v>4480000</v>
      </c>
      <c r="K827" t="s">
        <v>29</v>
      </c>
    </row>
    <row r="828" spans="1:11" x14ac:dyDescent="0.3">
      <c r="A828">
        <v>45753</v>
      </c>
      <c r="B828" t="s">
        <v>19</v>
      </c>
      <c r="C828" t="s">
        <v>17</v>
      </c>
      <c r="D828">
        <v>4</v>
      </c>
      <c r="E828">
        <v>15000000</v>
      </c>
      <c r="F828">
        <v>4</v>
      </c>
      <c r="G828">
        <v>2592000</v>
      </c>
      <c r="H828">
        <v>57600000</v>
      </c>
      <c r="I828">
        <v>48000000</v>
      </c>
      <c r="J828">
        <v>9600000</v>
      </c>
      <c r="K828" t="s">
        <v>29</v>
      </c>
    </row>
    <row r="829" spans="1:11" x14ac:dyDescent="0.3">
      <c r="A829">
        <v>45754</v>
      </c>
      <c r="B829" t="s">
        <v>12</v>
      </c>
      <c r="C829" t="s">
        <v>17</v>
      </c>
      <c r="D829">
        <v>4</v>
      </c>
      <c r="E829">
        <v>17000000</v>
      </c>
      <c r="F829">
        <v>6</v>
      </c>
      <c r="G829">
        <v>2876400</v>
      </c>
      <c r="H829">
        <v>63920000</v>
      </c>
      <c r="I829">
        <v>54400000</v>
      </c>
      <c r="J829">
        <v>9520000</v>
      </c>
      <c r="K829" t="s">
        <v>29</v>
      </c>
    </row>
    <row r="830" spans="1:11" x14ac:dyDescent="0.3">
      <c r="A830">
        <v>45755</v>
      </c>
      <c r="B830" t="s">
        <v>15</v>
      </c>
      <c r="C830" t="s">
        <v>17</v>
      </c>
      <c r="D830">
        <v>2</v>
      </c>
      <c r="E830">
        <v>18000000</v>
      </c>
      <c r="F830">
        <v>5</v>
      </c>
      <c r="G830">
        <v>3078000</v>
      </c>
      <c r="H830">
        <v>34200000</v>
      </c>
      <c r="I830">
        <v>28800000</v>
      </c>
      <c r="J830">
        <v>5400000</v>
      </c>
      <c r="K830" t="s">
        <v>29</v>
      </c>
    </row>
    <row r="831" spans="1:11" x14ac:dyDescent="0.3">
      <c r="A831">
        <v>45756</v>
      </c>
      <c r="B831" t="s">
        <v>15</v>
      </c>
      <c r="C831" t="s">
        <v>17</v>
      </c>
      <c r="D831">
        <v>2</v>
      </c>
      <c r="E831">
        <v>18000000</v>
      </c>
      <c r="F831">
        <v>4</v>
      </c>
      <c r="G831">
        <v>3110400</v>
      </c>
      <c r="H831">
        <v>34560000</v>
      </c>
      <c r="I831">
        <v>28800000</v>
      </c>
      <c r="J831">
        <v>5760000</v>
      </c>
      <c r="K831" t="s">
        <v>29</v>
      </c>
    </row>
    <row r="832" spans="1:11" x14ac:dyDescent="0.3">
      <c r="A832">
        <v>45757</v>
      </c>
      <c r="B832" t="s">
        <v>19</v>
      </c>
      <c r="C832" t="s">
        <v>14</v>
      </c>
      <c r="D832">
        <v>1</v>
      </c>
      <c r="E832">
        <v>15000000</v>
      </c>
      <c r="F832">
        <v>5</v>
      </c>
      <c r="G832">
        <v>2565000</v>
      </c>
      <c r="H832">
        <v>14250000</v>
      </c>
      <c r="I832">
        <v>12000000</v>
      </c>
      <c r="J832">
        <v>2250000</v>
      </c>
      <c r="K832" t="s">
        <v>29</v>
      </c>
    </row>
    <row r="833" spans="1:11" x14ac:dyDescent="0.3">
      <c r="A833">
        <v>45758</v>
      </c>
      <c r="B833" t="s">
        <v>12</v>
      </c>
      <c r="C833" t="s">
        <v>13</v>
      </c>
      <c r="D833">
        <v>1</v>
      </c>
      <c r="E833">
        <v>17000000</v>
      </c>
      <c r="F833">
        <v>3</v>
      </c>
      <c r="G833">
        <v>2968200</v>
      </c>
      <c r="H833">
        <v>16490000</v>
      </c>
      <c r="I833">
        <v>13600000</v>
      </c>
      <c r="J833">
        <v>2890000</v>
      </c>
      <c r="K833" t="s">
        <v>29</v>
      </c>
    </row>
    <row r="834" spans="1:11" x14ac:dyDescent="0.3">
      <c r="A834">
        <v>45759</v>
      </c>
      <c r="B834" t="s">
        <v>15</v>
      </c>
      <c r="C834" t="s">
        <v>18</v>
      </c>
      <c r="D834">
        <v>3</v>
      </c>
      <c r="E834">
        <v>18000000</v>
      </c>
      <c r="F834">
        <v>5</v>
      </c>
      <c r="G834">
        <v>3078000</v>
      </c>
      <c r="H834">
        <v>51300000</v>
      </c>
      <c r="I834">
        <v>43200000</v>
      </c>
      <c r="J834">
        <v>8100000</v>
      </c>
      <c r="K834" t="s">
        <v>29</v>
      </c>
    </row>
    <row r="835" spans="1:11" x14ac:dyDescent="0.3">
      <c r="A835">
        <v>45760</v>
      </c>
      <c r="B835" t="s">
        <v>10</v>
      </c>
      <c r="C835" t="s">
        <v>17</v>
      </c>
      <c r="D835">
        <v>1</v>
      </c>
      <c r="E835">
        <v>9000000</v>
      </c>
      <c r="F835">
        <v>6</v>
      </c>
      <c r="G835">
        <v>1522800</v>
      </c>
      <c r="H835">
        <v>8460000</v>
      </c>
      <c r="I835">
        <v>7200000</v>
      </c>
      <c r="J835">
        <v>1260000</v>
      </c>
      <c r="K835" t="s">
        <v>29</v>
      </c>
    </row>
    <row r="836" spans="1:11" x14ac:dyDescent="0.3">
      <c r="A836">
        <v>45761</v>
      </c>
      <c r="B836" t="s">
        <v>10</v>
      </c>
      <c r="C836" t="s">
        <v>18</v>
      </c>
      <c r="D836">
        <v>2</v>
      </c>
      <c r="E836">
        <v>9000000</v>
      </c>
      <c r="F836">
        <v>6</v>
      </c>
      <c r="G836">
        <v>1522800</v>
      </c>
      <c r="H836">
        <v>16920000</v>
      </c>
      <c r="I836">
        <v>14400000</v>
      </c>
      <c r="J836">
        <v>2520000</v>
      </c>
      <c r="K836" t="s">
        <v>29</v>
      </c>
    </row>
    <row r="837" spans="1:11" x14ac:dyDescent="0.3">
      <c r="A837">
        <v>45762</v>
      </c>
      <c r="B837" t="s">
        <v>10</v>
      </c>
      <c r="C837" t="s">
        <v>14</v>
      </c>
      <c r="D837">
        <v>4</v>
      </c>
      <c r="E837">
        <v>9000000</v>
      </c>
      <c r="F837">
        <v>3</v>
      </c>
      <c r="G837">
        <v>1571400</v>
      </c>
      <c r="H837">
        <v>34920000</v>
      </c>
      <c r="I837">
        <v>28800000</v>
      </c>
      <c r="J837">
        <v>6120000</v>
      </c>
      <c r="K837" t="s">
        <v>29</v>
      </c>
    </row>
    <row r="838" spans="1:11" x14ac:dyDescent="0.3">
      <c r="A838">
        <v>45763</v>
      </c>
      <c r="B838" t="s">
        <v>10</v>
      </c>
      <c r="C838" t="s">
        <v>14</v>
      </c>
      <c r="D838">
        <v>4</v>
      </c>
      <c r="E838">
        <v>9000000</v>
      </c>
      <c r="F838">
        <v>3</v>
      </c>
      <c r="G838">
        <v>1571400</v>
      </c>
      <c r="H838">
        <v>34920000</v>
      </c>
      <c r="I838">
        <v>28800000</v>
      </c>
      <c r="J838">
        <v>6120000</v>
      </c>
      <c r="K838" t="s">
        <v>29</v>
      </c>
    </row>
    <row r="839" spans="1:11" x14ac:dyDescent="0.3">
      <c r="A839">
        <v>45764</v>
      </c>
      <c r="B839" t="s">
        <v>15</v>
      </c>
      <c r="C839" t="s">
        <v>13</v>
      </c>
      <c r="D839">
        <v>4</v>
      </c>
      <c r="E839">
        <v>18000000</v>
      </c>
      <c r="F839">
        <v>5</v>
      </c>
      <c r="G839">
        <v>3078000</v>
      </c>
      <c r="H839">
        <v>68400000</v>
      </c>
      <c r="I839">
        <v>57600000</v>
      </c>
      <c r="J839">
        <v>10800000</v>
      </c>
      <c r="K839" t="s">
        <v>29</v>
      </c>
    </row>
    <row r="840" spans="1:11" x14ac:dyDescent="0.3">
      <c r="A840">
        <v>45765</v>
      </c>
      <c r="B840" t="s">
        <v>15</v>
      </c>
      <c r="C840" t="s">
        <v>17</v>
      </c>
      <c r="D840">
        <v>4</v>
      </c>
      <c r="E840">
        <v>18000000</v>
      </c>
      <c r="F840">
        <v>2</v>
      </c>
      <c r="G840">
        <v>3175200</v>
      </c>
      <c r="H840">
        <v>70560000</v>
      </c>
      <c r="I840">
        <v>57600000</v>
      </c>
      <c r="J840">
        <v>12960000</v>
      </c>
      <c r="K840" t="s">
        <v>29</v>
      </c>
    </row>
    <row r="841" spans="1:11" x14ac:dyDescent="0.3">
      <c r="A841">
        <v>45766</v>
      </c>
      <c r="B841" t="s">
        <v>15</v>
      </c>
      <c r="C841" t="s">
        <v>18</v>
      </c>
      <c r="D841">
        <v>3</v>
      </c>
      <c r="E841">
        <v>18000000</v>
      </c>
      <c r="F841">
        <v>5</v>
      </c>
      <c r="G841">
        <v>3078000</v>
      </c>
      <c r="H841">
        <v>51300000</v>
      </c>
      <c r="I841">
        <v>43200000</v>
      </c>
      <c r="J841">
        <v>8100000</v>
      </c>
      <c r="K841" t="s">
        <v>29</v>
      </c>
    </row>
    <row r="842" spans="1:11" x14ac:dyDescent="0.3">
      <c r="A842">
        <v>45767</v>
      </c>
      <c r="B842" t="s">
        <v>19</v>
      </c>
      <c r="C842" t="s">
        <v>14</v>
      </c>
      <c r="D842">
        <v>4</v>
      </c>
      <c r="E842">
        <v>15000000</v>
      </c>
      <c r="F842">
        <v>6</v>
      </c>
      <c r="G842">
        <v>2538000</v>
      </c>
      <c r="H842">
        <v>56400000</v>
      </c>
      <c r="I842">
        <v>48000000</v>
      </c>
      <c r="J842">
        <v>8400000</v>
      </c>
      <c r="K842" t="s">
        <v>29</v>
      </c>
    </row>
    <row r="843" spans="1:11" x14ac:dyDescent="0.3">
      <c r="A843">
        <v>45768</v>
      </c>
      <c r="B843" t="s">
        <v>19</v>
      </c>
      <c r="C843" t="s">
        <v>17</v>
      </c>
      <c r="D843">
        <v>4</v>
      </c>
      <c r="E843">
        <v>15000000</v>
      </c>
      <c r="F843">
        <v>4</v>
      </c>
      <c r="G843">
        <v>2592000</v>
      </c>
      <c r="H843">
        <v>57600000</v>
      </c>
      <c r="I843">
        <v>48000000</v>
      </c>
      <c r="J843">
        <v>9600000</v>
      </c>
      <c r="K843" t="s">
        <v>29</v>
      </c>
    </row>
    <row r="844" spans="1:11" x14ac:dyDescent="0.3">
      <c r="A844">
        <v>45769</v>
      </c>
      <c r="B844" t="s">
        <v>12</v>
      </c>
      <c r="C844" t="s">
        <v>14</v>
      </c>
      <c r="D844">
        <v>1</v>
      </c>
      <c r="E844">
        <v>17000000</v>
      </c>
      <c r="F844">
        <v>3</v>
      </c>
      <c r="G844">
        <v>2968200</v>
      </c>
      <c r="H844">
        <v>16490000</v>
      </c>
      <c r="I844">
        <v>13600000</v>
      </c>
      <c r="J844">
        <v>2890000</v>
      </c>
      <c r="K844" t="s">
        <v>29</v>
      </c>
    </row>
    <row r="845" spans="1:11" x14ac:dyDescent="0.3">
      <c r="A845">
        <v>45770</v>
      </c>
      <c r="B845" t="s">
        <v>12</v>
      </c>
      <c r="C845" t="s">
        <v>14</v>
      </c>
      <c r="D845">
        <v>3</v>
      </c>
      <c r="E845">
        <v>17000000</v>
      </c>
      <c r="F845">
        <v>2</v>
      </c>
      <c r="G845">
        <v>2998800</v>
      </c>
      <c r="H845">
        <v>49980000</v>
      </c>
      <c r="I845">
        <v>40800000</v>
      </c>
      <c r="J845">
        <v>9180000</v>
      </c>
      <c r="K845" t="s">
        <v>29</v>
      </c>
    </row>
    <row r="846" spans="1:11" x14ac:dyDescent="0.3">
      <c r="A846">
        <v>45771</v>
      </c>
      <c r="B846" t="s">
        <v>10</v>
      </c>
      <c r="C846" t="s">
        <v>13</v>
      </c>
      <c r="D846">
        <v>1</v>
      </c>
      <c r="E846">
        <v>9000000</v>
      </c>
      <c r="F846">
        <v>2</v>
      </c>
      <c r="G846">
        <v>1587600</v>
      </c>
      <c r="H846">
        <v>8820000</v>
      </c>
      <c r="I846">
        <v>7200000</v>
      </c>
      <c r="J846">
        <v>1620000</v>
      </c>
      <c r="K846" t="s">
        <v>29</v>
      </c>
    </row>
    <row r="847" spans="1:11" x14ac:dyDescent="0.3">
      <c r="A847">
        <v>45772</v>
      </c>
      <c r="B847" t="s">
        <v>16</v>
      </c>
      <c r="C847" t="s">
        <v>17</v>
      </c>
      <c r="D847">
        <v>1</v>
      </c>
      <c r="E847">
        <v>16000000</v>
      </c>
      <c r="F847">
        <v>2</v>
      </c>
      <c r="G847">
        <v>2822400</v>
      </c>
      <c r="H847">
        <v>15680000</v>
      </c>
      <c r="I847">
        <v>12800000</v>
      </c>
      <c r="J847">
        <v>2880000</v>
      </c>
      <c r="K847" t="s">
        <v>29</v>
      </c>
    </row>
    <row r="848" spans="1:11" x14ac:dyDescent="0.3">
      <c r="A848">
        <v>45773</v>
      </c>
      <c r="B848" t="s">
        <v>10</v>
      </c>
      <c r="C848" t="s">
        <v>11</v>
      </c>
      <c r="D848">
        <v>2</v>
      </c>
      <c r="E848">
        <v>9000000</v>
      </c>
      <c r="F848">
        <v>4</v>
      </c>
      <c r="G848">
        <v>1555200</v>
      </c>
      <c r="H848">
        <v>17280000</v>
      </c>
      <c r="I848">
        <v>14400000</v>
      </c>
      <c r="J848">
        <v>2880000</v>
      </c>
      <c r="K848" t="s">
        <v>29</v>
      </c>
    </row>
    <row r="849" spans="1:11" x14ac:dyDescent="0.3">
      <c r="A849">
        <v>45774</v>
      </c>
      <c r="B849" t="s">
        <v>16</v>
      </c>
      <c r="C849" t="s">
        <v>18</v>
      </c>
      <c r="D849">
        <v>3</v>
      </c>
      <c r="E849">
        <v>16000000</v>
      </c>
      <c r="F849">
        <v>6</v>
      </c>
      <c r="G849">
        <v>2707200</v>
      </c>
      <c r="H849">
        <v>45120000</v>
      </c>
      <c r="I849">
        <v>38400000</v>
      </c>
      <c r="J849">
        <v>6720000</v>
      </c>
      <c r="K849" t="s">
        <v>29</v>
      </c>
    </row>
    <row r="850" spans="1:11" x14ac:dyDescent="0.3">
      <c r="A850">
        <v>45775</v>
      </c>
      <c r="B850" t="s">
        <v>12</v>
      </c>
      <c r="C850" t="s">
        <v>13</v>
      </c>
      <c r="D850">
        <v>1</v>
      </c>
      <c r="E850">
        <v>17000000</v>
      </c>
      <c r="F850">
        <v>6</v>
      </c>
      <c r="G850">
        <v>2876400</v>
      </c>
      <c r="H850">
        <v>15980000</v>
      </c>
      <c r="I850">
        <v>13600000</v>
      </c>
      <c r="J850">
        <v>2380000</v>
      </c>
      <c r="K850" t="s">
        <v>29</v>
      </c>
    </row>
    <row r="851" spans="1:11" x14ac:dyDescent="0.3">
      <c r="A851">
        <v>45776</v>
      </c>
      <c r="B851" t="s">
        <v>15</v>
      </c>
      <c r="C851" t="s">
        <v>17</v>
      </c>
      <c r="D851">
        <v>2</v>
      </c>
      <c r="E851">
        <v>18000000</v>
      </c>
      <c r="F851">
        <v>3</v>
      </c>
      <c r="G851">
        <v>3142800</v>
      </c>
      <c r="H851">
        <v>34920000</v>
      </c>
      <c r="I851">
        <v>28800000</v>
      </c>
      <c r="J851">
        <v>6120000</v>
      </c>
      <c r="K851" t="s">
        <v>29</v>
      </c>
    </row>
    <row r="852" spans="1:11" x14ac:dyDescent="0.3">
      <c r="A852">
        <v>45777</v>
      </c>
      <c r="B852" t="s">
        <v>12</v>
      </c>
      <c r="C852" t="s">
        <v>14</v>
      </c>
      <c r="D852">
        <v>1</v>
      </c>
      <c r="E852">
        <v>17000000</v>
      </c>
      <c r="F852">
        <v>3</v>
      </c>
      <c r="G852">
        <v>2968200</v>
      </c>
      <c r="H852">
        <v>16490000</v>
      </c>
      <c r="I852">
        <v>13600000</v>
      </c>
      <c r="J852">
        <v>2890000</v>
      </c>
      <c r="K852" t="s">
        <v>29</v>
      </c>
    </row>
    <row r="853" spans="1:11" x14ac:dyDescent="0.3">
      <c r="A853">
        <v>45778</v>
      </c>
      <c r="B853" t="s">
        <v>10</v>
      </c>
      <c r="C853" t="s">
        <v>11</v>
      </c>
      <c r="D853">
        <v>2</v>
      </c>
      <c r="E853">
        <v>9000000</v>
      </c>
      <c r="F853">
        <v>6</v>
      </c>
      <c r="G853">
        <v>1522800</v>
      </c>
      <c r="H853">
        <v>16920000</v>
      </c>
      <c r="I853">
        <v>14400000</v>
      </c>
      <c r="J853">
        <v>2520000</v>
      </c>
      <c r="K853" t="s">
        <v>30</v>
      </c>
    </row>
    <row r="854" spans="1:11" x14ac:dyDescent="0.3">
      <c r="A854">
        <v>45779</v>
      </c>
      <c r="B854" t="s">
        <v>15</v>
      </c>
      <c r="C854" t="s">
        <v>13</v>
      </c>
      <c r="D854">
        <v>2</v>
      </c>
      <c r="E854">
        <v>18000000</v>
      </c>
      <c r="F854">
        <v>6</v>
      </c>
      <c r="G854">
        <v>3045600</v>
      </c>
      <c r="H854">
        <v>33840000</v>
      </c>
      <c r="I854">
        <v>28800000</v>
      </c>
      <c r="J854">
        <v>5040000</v>
      </c>
      <c r="K854" t="s">
        <v>30</v>
      </c>
    </row>
    <row r="855" spans="1:11" x14ac:dyDescent="0.3">
      <c r="A855">
        <v>45780</v>
      </c>
      <c r="B855" t="s">
        <v>19</v>
      </c>
      <c r="C855" t="s">
        <v>11</v>
      </c>
      <c r="D855">
        <v>4</v>
      </c>
      <c r="E855">
        <v>15000000</v>
      </c>
      <c r="F855">
        <v>5</v>
      </c>
      <c r="G855">
        <v>2565000</v>
      </c>
      <c r="H855">
        <v>57000000</v>
      </c>
      <c r="I855">
        <v>48000000</v>
      </c>
      <c r="J855">
        <v>9000000</v>
      </c>
      <c r="K855" t="s">
        <v>30</v>
      </c>
    </row>
    <row r="856" spans="1:11" x14ac:dyDescent="0.3">
      <c r="A856">
        <v>45781</v>
      </c>
      <c r="B856" t="s">
        <v>19</v>
      </c>
      <c r="C856" t="s">
        <v>13</v>
      </c>
      <c r="D856">
        <v>4</v>
      </c>
      <c r="E856">
        <v>15000000</v>
      </c>
      <c r="F856">
        <v>6</v>
      </c>
      <c r="G856">
        <v>2538000</v>
      </c>
      <c r="H856">
        <v>56400000</v>
      </c>
      <c r="I856">
        <v>48000000</v>
      </c>
      <c r="J856">
        <v>8400000</v>
      </c>
      <c r="K856" t="s">
        <v>30</v>
      </c>
    </row>
    <row r="857" spans="1:11" x14ac:dyDescent="0.3">
      <c r="A857">
        <v>45782</v>
      </c>
      <c r="B857" t="s">
        <v>12</v>
      </c>
      <c r="C857" t="s">
        <v>14</v>
      </c>
      <c r="D857">
        <v>1</v>
      </c>
      <c r="E857">
        <v>17000000</v>
      </c>
      <c r="F857">
        <v>6</v>
      </c>
      <c r="G857">
        <v>2876400</v>
      </c>
      <c r="H857">
        <v>15980000</v>
      </c>
      <c r="I857">
        <v>13600000</v>
      </c>
      <c r="J857">
        <v>2380000</v>
      </c>
      <c r="K857" t="s">
        <v>30</v>
      </c>
    </row>
    <row r="858" spans="1:11" x14ac:dyDescent="0.3">
      <c r="A858">
        <v>45783</v>
      </c>
      <c r="B858" t="s">
        <v>10</v>
      </c>
      <c r="C858" t="s">
        <v>14</v>
      </c>
      <c r="D858">
        <v>4</v>
      </c>
      <c r="E858">
        <v>9000000</v>
      </c>
      <c r="F858">
        <v>4</v>
      </c>
      <c r="G858">
        <v>1555200</v>
      </c>
      <c r="H858">
        <v>34560000</v>
      </c>
      <c r="I858">
        <v>28800000</v>
      </c>
      <c r="J858">
        <v>5760000</v>
      </c>
      <c r="K858" t="s">
        <v>30</v>
      </c>
    </row>
    <row r="859" spans="1:11" x14ac:dyDescent="0.3">
      <c r="A859">
        <v>45784</v>
      </c>
      <c r="B859" t="s">
        <v>10</v>
      </c>
      <c r="C859" t="s">
        <v>17</v>
      </c>
      <c r="D859">
        <v>3</v>
      </c>
      <c r="E859">
        <v>9000000</v>
      </c>
      <c r="F859">
        <v>4</v>
      </c>
      <c r="G859">
        <v>1555200</v>
      </c>
      <c r="H859">
        <v>25920000</v>
      </c>
      <c r="I859">
        <v>21600000</v>
      </c>
      <c r="J859">
        <v>4320000</v>
      </c>
      <c r="K859" t="s">
        <v>30</v>
      </c>
    </row>
    <row r="860" spans="1:11" x14ac:dyDescent="0.3">
      <c r="A860">
        <v>45785</v>
      </c>
      <c r="B860" t="s">
        <v>12</v>
      </c>
      <c r="C860" t="s">
        <v>13</v>
      </c>
      <c r="D860">
        <v>3</v>
      </c>
      <c r="E860">
        <v>17000000</v>
      </c>
      <c r="F860">
        <v>4</v>
      </c>
      <c r="G860">
        <v>2937600</v>
      </c>
      <c r="H860">
        <v>48960000</v>
      </c>
      <c r="I860">
        <v>40800000</v>
      </c>
      <c r="J860">
        <v>8160000</v>
      </c>
      <c r="K860" t="s">
        <v>30</v>
      </c>
    </row>
    <row r="861" spans="1:11" x14ac:dyDescent="0.3">
      <c r="A861">
        <v>45786</v>
      </c>
      <c r="B861" t="s">
        <v>10</v>
      </c>
      <c r="C861" t="s">
        <v>13</v>
      </c>
      <c r="D861">
        <v>2</v>
      </c>
      <c r="E861">
        <v>9000000</v>
      </c>
      <c r="F861">
        <v>6</v>
      </c>
      <c r="G861">
        <v>1522800</v>
      </c>
      <c r="H861">
        <v>16920000</v>
      </c>
      <c r="I861">
        <v>14400000</v>
      </c>
      <c r="J861">
        <v>2520000</v>
      </c>
      <c r="K861" t="s">
        <v>30</v>
      </c>
    </row>
    <row r="862" spans="1:11" x14ac:dyDescent="0.3">
      <c r="A862">
        <v>45787</v>
      </c>
      <c r="B862" t="s">
        <v>12</v>
      </c>
      <c r="C862" t="s">
        <v>13</v>
      </c>
      <c r="D862">
        <v>1</v>
      </c>
      <c r="E862">
        <v>17000000</v>
      </c>
      <c r="F862">
        <v>2</v>
      </c>
      <c r="G862">
        <v>2998800</v>
      </c>
      <c r="H862">
        <v>16660000</v>
      </c>
      <c r="I862">
        <v>13600000</v>
      </c>
      <c r="J862">
        <v>3060000</v>
      </c>
      <c r="K862" t="s">
        <v>30</v>
      </c>
    </row>
    <row r="863" spans="1:11" x14ac:dyDescent="0.3">
      <c r="A863">
        <v>45788</v>
      </c>
      <c r="B863" t="s">
        <v>12</v>
      </c>
      <c r="C863" t="s">
        <v>13</v>
      </c>
      <c r="D863">
        <v>4</v>
      </c>
      <c r="E863">
        <v>17000000</v>
      </c>
      <c r="F863">
        <v>6</v>
      </c>
      <c r="G863">
        <v>2876400</v>
      </c>
      <c r="H863">
        <v>63920000</v>
      </c>
      <c r="I863">
        <v>54400000</v>
      </c>
      <c r="J863">
        <v>9520000</v>
      </c>
      <c r="K863" t="s">
        <v>30</v>
      </c>
    </row>
    <row r="864" spans="1:11" x14ac:dyDescent="0.3">
      <c r="A864">
        <v>45789</v>
      </c>
      <c r="B864" t="s">
        <v>15</v>
      </c>
      <c r="C864" t="s">
        <v>14</v>
      </c>
      <c r="D864">
        <v>2</v>
      </c>
      <c r="E864">
        <v>18000000</v>
      </c>
      <c r="F864">
        <v>6</v>
      </c>
      <c r="G864">
        <v>3045600</v>
      </c>
      <c r="H864">
        <v>33840000</v>
      </c>
      <c r="I864">
        <v>28800000</v>
      </c>
      <c r="J864">
        <v>5040000</v>
      </c>
      <c r="K864" t="s">
        <v>30</v>
      </c>
    </row>
    <row r="865" spans="1:11" x14ac:dyDescent="0.3">
      <c r="A865">
        <v>45790</v>
      </c>
      <c r="B865" t="s">
        <v>15</v>
      </c>
      <c r="C865" t="s">
        <v>17</v>
      </c>
      <c r="D865">
        <v>3</v>
      </c>
      <c r="E865">
        <v>18000000</v>
      </c>
      <c r="F865">
        <v>5</v>
      </c>
      <c r="G865">
        <v>3078000</v>
      </c>
      <c r="H865">
        <v>51300000</v>
      </c>
      <c r="I865">
        <v>43200000</v>
      </c>
      <c r="J865">
        <v>8100000</v>
      </c>
      <c r="K865" t="s">
        <v>30</v>
      </c>
    </row>
    <row r="866" spans="1:11" x14ac:dyDescent="0.3">
      <c r="A866">
        <v>45791</v>
      </c>
      <c r="B866" t="s">
        <v>16</v>
      </c>
      <c r="C866" t="s">
        <v>14</v>
      </c>
      <c r="D866">
        <v>1</v>
      </c>
      <c r="E866">
        <v>16000000</v>
      </c>
      <c r="F866">
        <v>2</v>
      </c>
      <c r="G866">
        <v>2822400</v>
      </c>
      <c r="H866">
        <v>15680000</v>
      </c>
      <c r="I866">
        <v>12800000</v>
      </c>
      <c r="J866">
        <v>2880000</v>
      </c>
      <c r="K866" t="s">
        <v>30</v>
      </c>
    </row>
    <row r="867" spans="1:11" x14ac:dyDescent="0.3">
      <c r="A867">
        <v>45792</v>
      </c>
      <c r="B867" t="s">
        <v>19</v>
      </c>
      <c r="C867" t="s">
        <v>11</v>
      </c>
      <c r="D867">
        <v>3</v>
      </c>
      <c r="E867">
        <v>15000000</v>
      </c>
      <c r="F867">
        <v>3</v>
      </c>
      <c r="G867">
        <v>2619000</v>
      </c>
      <c r="H867">
        <v>43650000</v>
      </c>
      <c r="I867">
        <v>36000000</v>
      </c>
      <c r="J867">
        <v>7650000</v>
      </c>
      <c r="K867" t="s">
        <v>30</v>
      </c>
    </row>
    <row r="868" spans="1:11" x14ac:dyDescent="0.3">
      <c r="A868">
        <v>45793</v>
      </c>
      <c r="B868" t="s">
        <v>19</v>
      </c>
      <c r="C868" t="s">
        <v>11</v>
      </c>
      <c r="D868">
        <v>4</v>
      </c>
      <c r="E868">
        <v>15000000</v>
      </c>
      <c r="F868">
        <v>4</v>
      </c>
      <c r="G868">
        <v>2592000</v>
      </c>
      <c r="H868">
        <v>57600000</v>
      </c>
      <c r="I868">
        <v>48000000</v>
      </c>
      <c r="J868">
        <v>9600000</v>
      </c>
      <c r="K868" t="s">
        <v>30</v>
      </c>
    </row>
    <row r="869" spans="1:11" x14ac:dyDescent="0.3">
      <c r="A869">
        <v>45794</v>
      </c>
      <c r="B869" t="s">
        <v>15</v>
      </c>
      <c r="C869" t="s">
        <v>13</v>
      </c>
      <c r="D869">
        <v>3</v>
      </c>
      <c r="E869">
        <v>18000000</v>
      </c>
      <c r="F869">
        <v>6</v>
      </c>
      <c r="G869">
        <v>3045600</v>
      </c>
      <c r="H869">
        <v>50760000</v>
      </c>
      <c r="I869">
        <v>43200000</v>
      </c>
      <c r="J869">
        <v>7560000</v>
      </c>
      <c r="K869" t="s">
        <v>30</v>
      </c>
    </row>
    <row r="870" spans="1:11" x14ac:dyDescent="0.3">
      <c r="A870">
        <v>45795</v>
      </c>
      <c r="B870" t="s">
        <v>19</v>
      </c>
      <c r="C870" t="s">
        <v>13</v>
      </c>
      <c r="D870">
        <v>3</v>
      </c>
      <c r="E870">
        <v>15000000</v>
      </c>
      <c r="F870">
        <v>2</v>
      </c>
      <c r="G870">
        <v>2646000</v>
      </c>
      <c r="H870">
        <v>44100000</v>
      </c>
      <c r="I870">
        <v>36000000</v>
      </c>
      <c r="J870">
        <v>8100000</v>
      </c>
      <c r="K870" t="s">
        <v>30</v>
      </c>
    </row>
    <row r="871" spans="1:11" x14ac:dyDescent="0.3">
      <c r="A871">
        <v>45796</v>
      </c>
      <c r="B871" t="s">
        <v>12</v>
      </c>
      <c r="C871" t="s">
        <v>17</v>
      </c>
      <c r="D871">
        <v>3</v>
      </c>
      <c r="E871">
        <v>17000000</v>
      </c>
      <c r="F871">
        <v>6</v>
      </c>
      <c r="G871">
        <v>2876400</v>
      </c>
      <c r="H871">
        <v>47940000</v>
      </c>
      <c r="I871">
        <v>40800000</v>
      </c>
      <c r="J871">
        <v>7140000</v>
      </c>
      <c r="K871" t="s">
        <v>30</v>
      </c>
    </row>
    <row r="872" spans="1:11" x14ac:dyDescent="0.3">
      <c r="A872">
        <v>45797</v>
      </c>
      <c r="B872" t="s">
        <v>19</v>
      </c>
      <c r="C872" t="s">
        <v>17</v>
      </c>
      <c r="D872">
        <v>1</v>
      </c>
      <c r="E872">
        <v>15000000</v>
      </c>
      <c r="F872">
        <v>3</v>
      </c>
      <c r="G872">
        <v>2619000</v>
      </c>
      <c r="H872">
        <v>14550000</v>
      </c>
      <c r="I872">
        <v>12000000</v>
      </c>
      <c r="J872">
        <v>2550000</v>
      </c>
      <c r="K872" t="s">
        <v>30</v>
      </c>
    </row>
    <row r="873" spans="1:11" x14ac:dyDescent="0.3">
      <c r="A873">
        <v>45798</v>
      </c>
      <c r="B873" t="s">
        <v>16</v>
      </c>
      <c r="C873" t="s">
        <v>14</v>
      </c>
      <c r="D873">
        <v>1</v>
      </c>
      <c r="E873">
        <v>16000000</v>
      </c>
      <c r="F873">
        <v>2</v>
      </c>
      <c r="G873">
        <v>2822400</v>
      </c>
      <c r="H873">
        <v>15680000</v>
      </c>
      <c r="I873">
        <v>12800000</v>
      </c>
      <c r="J873">
        <v>2880000</v>
      </c>
      <c r="K873" t="s">
        <v>30</v>
      </c>
    </row>
    <row r="874" spans="1:11" x14ac:dyDescent="0.3">
      <c r="A874">
        <v>45799</v>
      </c>
      <c r="B874" t="s">
        <v>16</v>
      </c>
      <c r="C874" t="s">
        <v>13</v>
      </c>
      <c r="D874">
        <v>1</v>
      </c>
      <c r="E874">
        <v>16000000</v>
      </c>
      <c r="F874">
        <v>5</v>
      </c>
      <c r="G874">
        <v>2736000</v>
      </c>
      <c r="H874">
        <v>15200000</v>
      </c>
      <c r="I874">
        <v>12800000</v>
      </c>
      <c r="J874">
        <v>2400000</v>
      </c>
      <c r="K874" t="s">
        <v>30</v>
      </c>
    </row>
    <row r="875" spans="1:11" x14ac:dyDescent="0.3">
      <c r="A875">
        <v>45800</v>
      </c>
      <c r="B875" t="s">
        <v>15</v>
      </c>
      <c r="C875" t="s">
        <v>13</v>
      </c>
      <c r="D875">
        <v>3</v>
      </c>
      <c r="E875">
        <v>18000000</v>
      </c>
      <c r="F875">
        <v>5</v>
      </c>
      <c r="G875">
        <v>3078000</v>
      </c>
      <c r="H875">
        <v>51300000</v>
      </c>
      <c r="I875">
        <v>43200000</v>
      </c>
      <c r="J875">
        <v>8100000</v>
      </c>
      <c r="K875" t="s">
        <v>30</v>
      </c>
    </row>
    <row r="876" spans="1:11" x14ac:dyDescent="0.3">
      <c r="A876">
        <v>45801</v>
      </c>
      <c r="B876" t="s">
        <v>15</v>
      </c>
      <c r="C876" t="s">
        <v>14</v>
      </c>
      <c r="D876">
        <v>2</v>
      </c>
      <c r="E876">
        <v>18000000</v>
      </c>
      <c r="F876">
        <v>4</v>
      </c>
      <c r="G876">
        <v>3110400</v>
      </c>
      <c r="H876">
        <v>34560000</v>
      </c>
      <c r="I876">
        <v>28800000</v>
      </c>
      <c r="J876">
        <v>5760000</v>
      </c>
      <c r="K876" t="s">
        <v>30</v>
      </c>
    </row>
    <row r="877" spans="1:11" x14ac:dyDescent="0.3">
      <c r="A877">
        <v>45802</v>
      </c>
      <c r="B877" t="s">
        <v>12</v>
      </c>
      <c r="C877" t="s">
        <v>18</v>
      </c>
      <c r="D877">
        <v>1</v>
      </c>
      <c r="E877">
        <v>17000000</v>
      </c>
      <c r="F877">
        <v>2</v>
      </c>
      <c r="G877">
        <v>2998800</v>
      </c>
      <c r="H877">
        <v>16660000</v>
      </c>
      <c r="I877">
        <v>13600000</v>
      </c>
      <c r="J877">
        <v>3060000</v>
      </c>
      <c r="K877" t="s">
        <v>30</v>
      </c>
    </row>
    <row r="878" spans="1:11" x14ac:dyDescent="0.3">
      <c r="A878">
        <v>45803</v>
      </c>
      <c r="B878" t="s">
        <v>16</v>
      </c>
      <c r="C878" t="s">
        <v>14</v>
      </c>
      <c r="D878">
        <v>3</v>
      </c>
      <c r="E878">
        <v>16000000</v>
      </c>
      <c r="F878">
        <v>2</v>
      </c>
      <c r="G878">
        <v>2822400</v>
      </c>
      <c r="H878">
        <v>47040000</v>
      </c>
      <c r="I878">
        <v>38400000</v>
      </c>
      <c r="J878">
        <v>8640000</v>
      </c>
      <c r="K878" t="s">
        <v>30</v>
      </c>
    </row>
    <row r="879" spans="1:11" x14ac:dyDescent="0.3">
      <c r="A879">
        <v>45804</v>
      </c>
      <c r="B879" t="s">
        <v>19</v>
      </c>
      <c r="C879" t="s">
        <v>13</v>
      </c>
      <c r="D879">
        <v>4</v>
      </c>
      <c r="E879">
        <v>15000000</v>
      </c>
      <c r="F879">
        <v>2</v>
      </c>
      <c r="G879">
        <v>2646000</v>
      </c>
      <c r="H879">
        <v>58800000</v>
      </c>
      <c r="I879">
        <v>48000000</v>
      </c>
      <c r="J879">
        <v>10800000</v>
      </c>
      <c r="K879" t="s">
        <v>30</v>
      </c>
    </row>
    <row r="880" spans="1:11" x14ac:dyDescent="0.3">
      <c r="A880">
        <v>45805</v>
      </c>
      <c r="B880" t="s">
        <v>19</v>
      </c>
      <c r="C880" t="s">
        <v>14</v>
      </c>
      <c r="D880">
        <v>3</v>
      </c>
      <c r="E880">
        <v>15000000</v>
      </c>
      <c r="F880">
        <v>4</v>
      </c>
      <c r="G880">
        <v>2592000</v>
      </c>
      <c r="H880">
        <v>43200000</v>
      </c>
      <c r="I880">
        <v>36000000</v>
      </c>
      <c r="J880">
        <v>7200000</v>
      </c>
      <c r="K880" t="s">
        <v>30</v>
      </c>
    </row>
    <row r="881" spans="1:11" x14ac:dyDescent="0.3">
      <c r="A881">
        <v>45806</v>
      </c>
      <c r="B881" t="s">
        <v>19</v>
      </c>
      <c r="C881" t="s">
        <v>11</v>
      </c>
      <c r="D881">
        <v>4</v>
      </c>
      <c r="E881">
        <v>15000000</v>
      </c>
      <c r="F881">
        <v>4</v>
      </c>
      <c r="G881">
        <v>2592000</v>
      </c>
      <c r="H881">
        <v>57600000</v>
      </c>
      <c r="I881">
        <v>48000000</v>
      </c>
      <c r="J881">
        <v>9600000</v>
      </c>
      <c r="K881" t="s">
        <v>30</v>
      </c>
    </row>
    <row r="882" spans="1:11" x14ac:dyDescent="0.3">
      <c r="A882">
        <v>45807</v>
      </c>
      <c r="B882" t="s">
        <v>19</v>
      </c>
      <c r="C882" t="s">
        <v>14</v>
      </c>
      <c r="D882">
        <v>4</v>
      </c>
      <c r="E882">
        <v>15000000</v>
      </c>
      <c r="F882">
        <v>3</v>
      </c>
      <c r="G882">
        <v>2619000</v>
      </c>
      <c r="H882">
        <v>58200000</v>
      </c>
      <c r="I882">
        <v>48000000</v>
      </c>
      <c r="J882">
        <v>10200000</v>
      </c>
      <c r="K882" t="s">
        <v>30</v>
      </c>
    </row>
    <row r="883" spans="1:11" x14ac:dyDescent="0.3">
      <c r="A883">
        <v>45808</v>
      </c>
      <c r="B883" t="s">
        <v>12</v>
      </c>
      <c r="C883" t="s">
        <v>14</v>
      </c>
      <c r="D883">
        <v>2</v>
      </c>
      <c r="E883">
        <v>17000000</v>
      </c>
      <c r="F883">
        <v>5</v>
      </c>
      <c r="G883">
        <v>2907000</v>
      </c>
      <c r="H883">
        <v>32300000</v>
      </c>
      <c r="I883">
        <v>27200000</v>
      </c>
      <c r="J883">
        <v>5100000</v>
      </c>
      <c r="K883" t="s">
        <v>30</v>
      </c>
    </row>
    <row r="884" spans="1:11" x14ac:dyDescent="0.3">
      <c r="A884">
        <v>45809</v>
      </c>
      <c r="B884" t="s">
        <v>10</v>
      </c>
      <c r="C884" t="s">
        <v>14</v>
      </c>
      <c r="D884">
        <v>4</v>
      </c>
      <c r="E884">
        <v>9000000</v>
      </c>
      <c r="F884">
        <v>6</v>
      </c>
      <c r="G884">
        <v>1522800</v>
      </c>
      <c r="H884">
        <v>33840000</v>
      </c>
      <c r="I884">
        <v>28800000</v>
      </c>
      <c r="J884">
        <v>5040000</v>
      </c>
      <c r="K884" t="s">
        <v>31</v>
      </c>
    </row>
    <row r="885" spans="1:11" x14ac:dyDescent="0.3">
      <c r="A885">
        <v>45810</v>
      </c>
      <c r="B885" t="s">
        <v>19</v>
      </c>
      <c r="C885" t="s">
        <v>17</v>
      </c>
      <c r="D885">
        <v>4</v>
      </c>
      <c r="E885">
        <v>15000000</v>
      </c>
      <c r="F885">
        <v>6</v>
      </c>
      <c r="G885">
        <v>2538000</v>
      </c>
      <c r="H885">
        <v>56400000</v>
      </c>
      <c r="I885">
        <v>48000000</v>
      </c>
      <c r="J885">
        <v>8400000</v>
      </c>
      <c r="K885" t="s">
        <v>31</v>
      </c>
    </row>
    <row r="886" spans="1:11" x14ac:dyDescent="0.3">
      <c r="A886">
        <v>45811</v>
      </c>
      <c r="B886" t="s">
        <v>12</v>
      </c>
      <c r="C886" t="s">
        <v>11</v>
      </c>
      <c r="D886">
        <v>4</v>
      </c>
      <c r="E886">
        <v>17000000</v>
      </c>
      <c r="F886">
        <v>5</v>
      </c>
      <c r="G886">
        <v>2907000</v>
      </c>
      <c r="H886">
        <v>64600000</v>
      </c>
      <c r="I886">
        <v>54400000</v>
      </c>
      <c r="J886">
        <v>10200000</v>
      </c>
      <c r="K886" t="s">
        <v>31</v>
      </c>
    </row>
    <row r="887" spans="1:11" x14ac:dyDescent="0.3">
      <c r="A887">
        <v>45812</v>
      </c>
      <c r="B887" t="s">
        <v>12</v>
      </c>
      <c r="C887" t="s">
        <v>13</v>
      </c>
      <c r="D887">
        <v>4</v>
      </c>
      <c r="E887">
        <v>17000000</v>
      </c>
      <c r="F887">
        <v>4</v>
      </c>
      <c r="G887">
        <v>2937600</v>
      </c>
      <c r="H887">
        <v>65280000</v>
      </c>
      <c r="I887">
        <v>54400000</v>
      </c>
      <c r="J887">
        <v>10880000</v>
      </c>
      <c r="K887" t="s">
        <v>31</v>
      </c>
    </row>
    <row r="888" spans="1:11" x14ac:dyDescent="0.3">
      <c r="A888">
        <v>45813</v>
      </c>
      <c r="B888" t="s">
        <v>12</v>
      </c>
      <c r="C888" t="s">
        <v>13</v>
      </c>
      <c r="D888">
        <v>4</v>
      </c>
      <c r="E888">
        <v>17000000</v>
      </c>
      <c r="F888">
        <v>5</v>
      </c>
      <c r="G888">
        <v>2907000</v>
      </c>
      <c r="H888">
        <v>64600000</v>
      </c>
      <c r="I888">
        <v>54400000</v>
      </c>
      <c r="J888">
        <v>10200000</v>
      </c>
      <c r="K888" t="s">
        <v>31</v>
      </c>
    </row>
    <row r="889" spans="1:11" x14ac:dyDescent="0.3">
      <c r="A889">
        <v>45814</v>
      </c>
      <c r="B889" t="s">
        <v>10</v>
      </c>
      <c r="C889" t="s">
        <v>14</v>
      </c>
      <c r="D889">
        <v>4</v>
      </c>
      <c r="E889">
        <v>9000000</v>
      </c>
      <c r="F889">
        <v>5</v>
      </c>
      <c r="G889">
        <v>1539000</v>
      </c>
      <c r="H889">
        <v>34200000</v>
      </c>
      <c r="I889">
        <v>28800000</v>
      </c>
      <c r="J889">
        <v>5400000</v>
      </c>
      <c r="K889" t="s">
        <v>31</v>
      </c>
    </row>
    <row r="890" spans="1:11" x14ac:dyDescent="0.3">
      <c r="A890">
        <v>45815</v>
      </c>
      <c r="B890" t="s">
        <v>10</v>
      </c>
      <c r="C890" t="s">
        <v>13</v>
      </c>
      <c r="D890">
        <v>2</v>
      </c>
      <c r="E890">
        <v>9000000</v>
      </c>
      <c r="F890">
        <v>5</v>
      </c>
      <c r="G890">
        <v>1539000</v>
      </c>
      <c r="H890">
        <v>17100000</v>
      </c>
      <c r="I890">
        <v>14400000</v>
      </c>
      <c r="J890">
        <v>2700000</v>
      </c>
      <c r="K890" t="s">
        <v>31</v>
      </c>
    </row>
    <row r="891" spans="1:11" x14ac:dyDescent="0.3">
      <c r="A891">
        <v>45816</v>
      </c>
      <c r="B891" t="s">
        <v>19</v>
      </c>
      <c r="C891" t="s">
        <v>14</v>
      </c>
      <c r="D891">
        <v>3</v>
      </c>
      <c r="E891">
        <v>15000000</v>
      </c>
      <c r="F891">
        <v>5</v>
      </c>
      <c r="G891">
        <v>2565000</v>
      </c>
      <c r="H891">
        <v>42750000</v>
      </c>
      <c r="I891">
        <v>36000000</v>
      </c>
      <c r="J891">
        <v>6750000</v>
      </c>
      <c r="K891" t="s">
        <v>31</v>
      </c>
    </row>
    <row r="892" spans="1:11" x14ac:dyDescent="0.3">
      <c r="A892">
        <v>45817</v>
      </c>
      <c r="B892" t="s">
        <v>12</v>
      </c>
      <c r="C892" t="s">
        <v>17</v>
      </c>
      <c r="D892">
        <v>1</v>
      </c>
      <c r="E892">
        <v>17000000</v>
      </c>
      <c r="F892">
        <v>4</v>
      </c>
      <c r="G892">
        <v>2937600</v>
      </c>
      <c r="H892">
        <v>16320000</v>
      </c>
      <c r="I892">
        <v>13600000</v>
      </c>
      <c r="J892">
        <v>2720000</v>
      </c>
      <c r="K892" t="s">
        <v>31</v>
      </c>
    </row>
    <row r="893" spans="1:11" x14ac:dyDescent="0.3">
      <c r="A893">
        <v>45818</v>
      </c>
      <c r="B893" t="s">
        <v>15</v>
      </c>
      <c r="C893" t="s">
        <v>18</v>
      </c>
      <c r="D893">
        <v>2</v>
      </c>
      <c r="E893">
        <v>18000000</v>
      </c>
      <c r="F893">
        <v>5</v>
      </c>
      <c r="G893">
        <v>3078000</v>
      </c>
      <c r="H893">
        <v>34200000</v>
      </c>
      <c r="I893">
        <v>28800000</v>
      </c>
      <c r="J893">
        <v>5400000</v>
      </c>
      <c r="K893" t="s">
        <v>31</v>
      </c>
    </row>
    <row r="894" spans="1:11" x14ac:dyDescent="0.3">
      <c r="A894">
        <v>45819</v>
      </c>
      <c r="B894" t="s">
        <v>10</v>
      </c>
      <c r="C894" t="s">
        <v>18</v>
      </c>
      <c r="D894">
        <v>4</v>
      </c>
      <c r="E894">
        <v>9000000</v>
      </c>
      <c r="F894">
        <v>6</v>
      </c>
      <c r="G894">
        <v>1522800</v>
      </c>
      <c r="H894">
        <v>33840000</v>
      </c>
      <c r="I894">
        <v>28800000</v>
      </c>
      <c r="J894">
        <v>5040000</v>
      </c>
      <c r="K894" t="s">
        <v>31</v>
      </c>
    </row>
    <row r="895" spans="1:11" x14ac:dyDescent="0.3">
      <c r="A895">
        <v>45820</v>
      </c>
      <c r="B895" t="s">
        <v>19</v>
      </c>
      <c r="C895" t="s">
        <v>14</v>
      </c>
      <c r="D895">
        <v>1</v>
      </c>
      <c r="E895">
        <v>15000000</v>
      </c>
      <c r="F895">
        <v>4</v>
      </c>
      <c r="G895">
        <v>2592000</v>
      </c>
      <c r="H895">
        <v>14400000</v>
      </c>
      <c r="I895">
        <v>12000000</v>
      </c>
      <c r="J895">
        <v>2400000</v>
      </c>
      <c r="K895" t="s">
        <v>31</v>
      </c>
    </row>
    <row r="896" spans="1:11" x14ac:dyDescent="0.3">
      <c r="A896">
        <v>45821</v>
      </c>
      <c r="B896" t="s">
        <v>12</v>
      </c>
      <c r="C896" t="s">
        <v>13</v>
      </c>
      <c r="D896">
        <v>3</v>
      </c>
      <c r="E896">
        <v>17000000</v>
      </c>
      <c r="F896">
        <v>5</v>
      </c>
      <c r="G896">
        <v>2907000</v>
      </c>
      <c r="H896">
        <v>48450000</v>
      </c>
      <c r="I896">
        <v>40800000</v>
      </c>
      <c r="J896">
        <v>7650000</v>
      </c>
      <c r="K896" t="s">
        <v>31</v>
      </c>
    </row>
    <row r="897" spans="1:11" x14ac:dyDescent="0.3">
      <c r="A897">
        <v>45822</v>
      </c>
      <c r="B897" t="s">
        <v>12</v>
      </c>
      <c r="C897" t="s">
        <v>13</v>
      </c>
      <c r="D897">
        <v>2</v>
      </c>
      <c r="E897">
        <v>17000000</v>
      </c>
      <c r="F897">
        <v>6</v>
      </c>
      <c r="G897">
        <v>2876400</v>
      </c>
      <c r="H897">
        <v>31960000</v>
      </c>
      <c r="I897">
        <v>27200000</v>
      </c>
      <c r="J897">
        <v>4760000</v>
      </c>
      <c r="K897" t="s">
        <v>31</v>
      </c>
    </row>
    <row r="898" spans="1:11" x14ac:dyDescent="0.3">
      <c r="A898">
        <v>45823</v>
      </c>
      <c r="B898" t="s">
        <v>16</v>
      </c>
      <c r="C898" t="s">
        <v>13</v>
      </c>
      <c r="D898">
        <v>3</v>
      </c>
      <c r="E898">
        <v>16000000</v>
      </c>
      <c r="F898">
        <v>2</v>
      </c>
      <c r="G898">
        <v>2822400</v>
      </c>
      <c r="H898">
        <v>47040000</v>
      </c>
      <c r="I898">
        <v>38400000</v>
      </c>
      <c r="J898">
        <v>8640000</v>
      </c>
      <c r="K898" t="s">
        <v>31</v>
      </c>
    </row>
    <row r="899" spans="1:11" x14ac:dyDescent="0.3">
      <c r="A899">
        <v>45824</v>
      </c>
      <c r="B899" t="s">
        <v>12</v>
      </c>
      <c r="C899" t="s">
        <v>14</v>
      </c>
      <c r="D899">
        <v>2</v>
      </c>
      <c r="E899">
        <v>17000000</v>
      </c>
      <c r="F899">
        <v>4</v>
      </c>
      <c r="G899">
        <v>2937600</v>
      </c>
      <c r="H899">
        <v>32640000</v>
      </c>
      <c r="I899">
        <v>27200000</v>
      </c>
      <c r="J899">
        <v>5440000</v>
      </c>
      <c r="K899" t="s">
        <v>31</v>
      </c>
    </row>
    <row r="900" spans="1:11" x14ac:dyDescent="0.3">
      <c r="A900">
        <v>45825</v>
      </c>
      <c r="B900" t="s">
        <v>12</v>
      </c>
      <c r="C900" t="s">
        <v>18</v>
      </c>
      <c r="D900">
        <v>2</v>
      </c>
      <c r="E900">
        <v>17000000</v>
      </c>
      <c r="F900">
        <v>5</v>
      </c>
      <c r="G900">
        <v>2907000</v>
      </c>
      <c r="H900">
        <v>32300000</v>
      </c>
      <c r="I900">
        <v>27200000</v>
      </c>
      <c r="J900">
        <v>5100000</v>
      </c>
      <c r="K900" t="s">
        <v>31</v>
      </c>
    </row>
    <row r="901" spans="1:11" x14ac:dyDescent="0.3">
      <c r="A901">
        <v>45826</v>
      </c>
      <c r="B901" t="s">
        <v>12</v>
      </c>
      <c r="C901" t="s">
        <v>11</v>
      </c>
      <c r="D901">
        <v>2</v>
      </c>
      <c r="E901">
        <v>17000000</v>
      </c>
      <c r="F901">
        <v>5</v>
      </c>
      <c r="G901">
        <v>2907000</v>
      </c>
      <c r="H901">
        <v>32300000</v>
      </c>
      <c r="I901">
        <v>27200000</v>
      </c>
      <c r="J901">
        <v>5100000</v>
      </c>
      <c r="K901" t="s">
        <v>31</v>
      </c>
    </row>
    <row r="902" spans="1:11" x14ac:dyDescent="0.3">
      <c r="A902">
        <v>45827</v>
      </c>
      <c r="B902" t="s">
        <v>19</v>
      </c>
      <c r="C902" t="s">
        <v>18</v>
      </c>
      <c r="D902">
        <v>1</v>
      </c>
      <c r="E902">
        <v>15000000</v>
      </c>
      <c r="F902">
        <v>3</v>
      </c>
      <c r="G902">
        <v>2619000</v>
      </c>
      <c r="H902">
        <v>14550000</v>
      </c>
      <c r="I902">
        <v>12000000</v>
      </c>
      <c r="J902">
        <v>2550000</v>
      </c>
      <c r="K902" t="s">
        <v>31</v>
      </c>
    </row>
    <row r="903" spans="1:11" x14ac:dyDescent="0.3">
      <c r="A903">
        <v>45828</v>
      </c>
      <c r="B903" t="s">
        <v>16</v>
      </c>
      <c r="C903" t="s">
        <v>17</v>
      </c>
      <c r="D903">
        <v>4</v>
      </c>
      <c r="E903">
        <v>16000000</v>
      </c>
      <c r="F903">
        <v>3</v>
      </c>
      <c r="G903">
        <v>2793600</v>
      </c>
      <c r="H903">
        <v>62080000</v>
      </c>
      <c r="I903">
        <v>51200000</v>
      </c>
      <c r="J903">
        <v>10880000</v>
      </c>
      <c r="K903" t="s">
        <v>31</v>
      </c>
    </row>
    <row r="904" spans="1:11" x14ac:dyDescent="0.3">
      <c r="A904">
        <v>45829</v>
      </c>
      <c r="B904" t="s">
        <v>10</v>
      </c>
      <c r="C904" t="s">
        <v>11</v>
      </c>
      <c r="D904">
        <v>4</v>
      </c>
      <c r="E904">
        <v>9000000</v>
      </c>
      <c r="F904">
        <v>2</v>
      </c>
      <c r="G904">
        <v>1587600</v>
      </c>
      <c r="H904">
        <v>35280000</v>
      </c>
      <c r="I904">
        <v>28800000</v>
      </c>
      <c r="J904">
        <v>6480000</v>
      </c>
      <c r="K904" t="s">
        <v>31</v>
      </c>
    </row>
    <row r="905" spans="1:11" x14ac:dyDescent="0.3">
      <c r="A905">
        <v>45830</v>
      </c>
      <c r="B905" t="s">
        <v>19</v>
      </c>
      <c r="C905" t="s">
        <v>13</v>
      </c>
      <c r="D905">
        <v>4</v>
      </c>
      <c r="E905">
        <v>15000000</v>
      </c>
      <c r="F905">
        <v>4</v>
      </c>
      <c r="G905">
        <v>2592000</v>
      </c>
      <c r="H905">
        <v>57600000</v>
      </c>
      <c r="I905">
        <v>48000000</v>
      </c>
      <c r="J905">
        <v>9600000</v>
      </c>
      <c r="K905" t="s">
        <v>31</v>
      </c>
    </row>
    <row r="906" spans="1:11" x14ac:dyDescent="0.3">
      <c r="A906">
        <v>45831</v>
      </c>
      <c r="B906" t="s">
        <v>15</v>
      </c>
      <c r="C906" t="s">
        <v>13</v>
      </c>
      <c r="D906">
        <v>2</v>
      </c>
      <c r="E906">
        <v>18000000</v>
      </c>
      <c r="F906">
        <v>6</v>
      </c>
      <c r="G906">
        <v>3045600</v>
      </c>
      <c r="H906">
        <v>33840000</v>
      </c>
      <c r="I906">
        <v>28800000</v>
      </c>
      <c r="J906">
        <v>5040000</v>
      </c>
      <c r="K906" t="s">
        <v>31</v>
      </c>
    </row>
    <row r="907" spans="1:11" x14ac:dyDescent="0.3">
      <c r="A907">
        <v>45832</v>
      </c>
      <c r="B907" t="s">
        <v>16</v>
      </c>
      <c r="C907" t="s">
        <v>13</v>
      </c>
      <c r="D907">
        <v>3</v>
      </c>
      <c r="E907">
        <v>16000000</v>
      </c>
      <c r="F907">
        <v>3</v>
      </c>
      <c r="G907">
        <v>2793600</v>
      </c>
      <c r="H907">
        <v>46560000</v>
      </c>
      <c r="I907">
        <v>38400000</v>
      </c>
      <c r="J907">
        <v>8160000</v>
      </c>
      <c r="K907" t="s">
        <v>31</v>
      </c>
    </row>
    <row r="908" spans="1:11" x14ac:dyDescent="0.3">
      <c r="A908">
        <v>45833</v>
      </c>
      <c r="B908" t="s">
        <v>12</v>
      </c>
      <c r="C908" t="s">
        <v>13</v>
      </c>
      <c r="D908">
        <v>4</v>
      </c>
      <c r="E908">
        <v>17000000</v>
      </c>
      <c r="F908">
        <v>4</v>
      </c>
      <c r="G908">
        <v>2937600</v>
      </c>
      <c r="H908">
        <v>65280000</v>
      </c>
      <c r="I908">
        <v>54400000</v>
      </c>
      <c r="J908">
        <v>10880000</v>
      </c>
      <c r="K908" t="s">
        <v>31</v>
      </c>
    </row>
    <row r="909" spans="1:11" x14ac:dyDescent="0.3">
      <c r="A909">
        <v>45834</v>
      </c>
      <c r="B909" t="s">
        <v>19</v>
      </c>
      <c r="C909" t="s">
        <v>11</v>
      </c>
      <c r="D909">
        <v>4</v>
      </c>
      <c r="E909">
        <v>15000000</v>
      </c>
      <c r="F909">
        <v>3</v>
      </c>
      <c r="G909">
        <v>2619000</v>
      </c>
      <c r="H909">
        <v>58200000</v>
      </c>
      <c r="I909">
        <v>48000000</v>
      </c>
      <c r="J909">
        <v>10200000</v>
      </c>
      <c r="K909" t="s">
        <v>31</v>
      </c>
    </row>
    <row r="910" spans="1:11" x14ac:dyDescent="0.3">
      <c r="A910">
        <v>45835</v>
      </c>
      <c r="B910" t="s">
        <v>19</v>
      </c>
      <c r="C910" t="s">
        <v>11</v>
      </c>
      <c r="D910">
        <v>3</v>
      </c>
      <c r="E910">
        <v>15000000</v>
      </c>
      <c r="F910">
        <v>2</v>
      </c>
      <c r="G910">
        <v>2646000</v>
      </c>
      <c r="H910">
        <v>44100000</v>
      </c>
      <c r="I910">
        <v>36000000</v>
      </c>
      <c r="J910">
        <v>8100000</v>
      </c>
      <c r="K910" t="s">
        <v>31</v>
      </c>
    </row>
    <row r="911" spans="1:11" x14ac:dyDescent="0.3">
      <c r="A911">
        <v>45836</v>
      </c>
      <c r="B911" t="s">
        <v>19</v>
      </c>
      <c r="C911" t="s">
        <v>13</v>
      </c>
      <c r="D911">
        <v>4</v>
      </c>
      <c r="E911">
        <v>15000000</v>
      </c>
      <c r="F911">
        <v>6</v>
      </c>
      <c r="G911">
        <v>2538000</v>
      </c>
      <c r="H911">
        <v>56400000</v>
      </c>
      <c r="I911">
        <v>48000000</v>
      </c>
      <c r="J911">
        <v>8400000</v>
      </c>
      <c r="K911" t="s">
        <v>31</v>
      </c>
    </row>
    <row r="912" spans="1:11" x14ac:dyDescent="0.3">
      <c r="A912">
        <v>45837</v>
      </c>
      <c r="B912" t="s">
        <v>16</v>
      </c>
      <c r="C912" t="s">
        <v>13</v>
      </c>
      <c r="D912">
        <v>2</v>
      </c>
      <c r="E912">
        <v>16000000</v>
      </c>
      <c r="F912">
        <v>5</v>
      </c>
      <c r="G912">
        <v>2736000</v>
      </c>
      <c r="H912">
        <v>30400000</v>
      </c>
      <c r="I912">
        <v>25600000</v>
      </c>
      <c r="J912">
        <v>4800000</v>
      </c>
      <c r="K912" t="s">
        <v>31</v>
      </c>
    </row>
    <row r="913" spans="1:11" x14ac:dyDescent="0.3">
      <c r="A913">
        <v>45838</v>
      </c>
      <c r="B913" t="s">
        <v>19</v>
      </c>
      <c r="C913" t="s">
        <v>11</v>
      </c>
      <c r="D913">
        <v>3</v>
      </c>
      <c r="E913">
        <v>15000000</v>
      </c>
      <c r="F913">
        <v>5</v>
      </c>
      <c r="G913">
        <v>2565000</v>
      </c>
      <c r="H913">
        <v>42750000</v>
      </c>
      <c r="I913">
        <v>36000000</v>
      </c>
      <c r="J913">
        <v>6750000</v>
      </c>
      <c r="K913" t="s">
        <v>31</v>
      </c>
    </row>
    <row r="914" spans="1:11" x14ac:dyDescent="0.3">
      <c r="A914">
        <v>45839</v>
      </c>
      <c r="B914" t="s">
        <v>16</v>
      </c>
      <c r="C914" t="s">
        <v>18</v>
      </c>
      <c r="D914">
        <v>4</v>
      </c>
      <c r="E914">
        <v>16000000</v>
      </c>
      <c r="F914">
        <v>3</v>
      </c>
      <c r="G914">
        <v>2793600</v>
      </c>
      <c r="H914">
        <v>62080000</v>
      </c>
      <c r="I914">
        <v>51200000</v>
      </c>
      <c r="J914">
        <v>10880000</v>
      </c>
      <c r="K914" t="s">
        <v>32</v>
      </c>
    </row>
    <row r="915" spans="1:11" x14ac:dyDescent="0.3">
      <c r="A915">
        <v>45840</v>
      </c>
      <c r="B915" t="s">
        <v>19</v>
      </c>
      <c r="C915" t="s">
        <v>14</v>
      </c>
      <c r="D915">
        <v>3</v>
      </c>
      <c r="E915">
        <v>15000000</v>
      </c>
      <c r="F915">
        <v>2</v>
      </c>
      <c r="G915">
        <v>2646000</v>
      </c>
      <c r="H915">
        <v>44100000</v>
      </c>
      <c r="I915">
        <v>36000000</v>
      </c>
      <c r="J915">
        <v>8100000</v>
      </c>
      <c r="K915" t="s">
        <v>32</v>
      </c>
    </row>
    <row r="916" spans="1:11" x14ac:dyDescent="0.3">
      <c r="A916">
        <v>45841</v>
      </c>
      <c r="B916" t="s">
        <v>19</v>
      </c>
      <c r="C916" t="s">
        <v>13</v>
      </c>
      <c r="D916">
        <v>3</v>
      </c>
      <c r="E916">
        <v>15000000</v>
      </c>
      <c r="F916">
        <v>6</v>
      </c>
      <c r="G916">
        <v>2538000</v>
      </c>
      <c r="H916">
        <v>42300000</v>
      </c>
      <c r="I916">
        <v>36000000</v>
      </c>
      <c r="J916">
        <v>6300000</v>
      </c>
      <c r="K916" t="s">
        <v>32</v>
      </c>
    </row>
    <row r="917" spans="1:11" x14ac:dyDescent="0.3">
      <c r="A917">
        <v>45842</v>
      </c>
      <c r="B917" t="s">
        <v>19</v>
      </c>
      <c r="C917" t="s">
        <v>18</v>
      </c>
      <c r="D917">
        <v>3</v>
      </c>
      <c r="E917">
        <v>15000000</v>
      </c>
      <c r="F917">
        <v>5</v>
      </c>
      <c r="G917">
        <v>2565000</v>
      </c>
      <c r="H917">
        <v>42750000</v>
      </c>
      <c r="I917">
        <v>36000000</v>
      </c>
      <c r="J917">
        <v>6750000</v>
      </c>
      <c r="K917" t="s">
        <v>32</v>
      </c>
    </row>
    <row r="918" spans="1:11" x14ac:dyDescent="0.3">
      <c r="A918">
        <v>45843</v>
      </c>
      <c r="B918" t="s">
        <v>12</v>
      </c>
      <c r="C918" t="s">
        <v>18</v>
      </c>
      <c r="D918">
        <v>2</v>
      </c>
      <c r="E918">
        <v>17000000</v>
      </c>
      <c r="F918">
        <v>5</v>
      </c>
      <c r="G918">
        <v>2907000</v>
      </c>
      <c r="H918">
        <v>32300000</v>
      </c>
      <c r="I918">
        <v>27200000</v>
      </c>
      <c r="J918">
        <v>5100000</v>
      </c>
      <c r="K918" t="s">
        <v>32</v>
      </c>
    </row>
    <row r="919" spans="1:11" x14ac:dyDescent="0.3">
      <c r="A919">
        <v>45844</v>
      </c>
      <c r="B919" t="s">
        <v>19</v>
      </c>
      <c r="C919" t="s">
        <v>14</v>
      </c>
      <c r="D919">
        <v>3</v>
      </c>
      <c r="E919">
        <v>15000000</v>
      </c>
      <c r="F919">
        <v>5</v>
      </c>
      <c r="G919">
        <v>2565000</v>
      </c>
      <c r="H919">
        <v>42750000</v>
      </c>
      <c r="I919">
        <v>36000000</v>
      </c>
      <c r="J919">
        <v>6750000</v>
      </c>
      <c r="K919" t="s">
        <v>32</v>
      </c>
    </row>
    <row r="920" spans="1:11" x14ac:dyDescent="0.3">
      <c r="A920">
        <v>45845</v>
      </c>
      <c r="B920" t="s">
        <v>10</v>
      </c>
      <c r="C920" t="s">
        <v>13</v>
      </c>
      <c r="D920">
        <v>1</v>
      </c>
      <c r="E920">
        <v>9000000</v>
      </c>
      <c r="F920">
        <v>6</v>
      </c>
      <c r="G920">
        <v>1522800</v>
      </c>
      <c r="H920">
        <v>8460000</v>
      </c>
      <c r="I920">
        <v>7200000</v>
      </c>
      <c r="J920">
        <v>1260000</v>
      </c>
      <c r="K920" t="s">
        <v>32</v>
      </c>
    </row>
    <row r="921" spans="1:11" x14ac:dyDescent="0.3">
      <c r="A921">
        <v>45846</v>
      </c>
      <c r="B921" t="s">
        <v>15</v>
      </c>
      <c r="C921" t="s">
        <v>13</v>
      </c>
      <c r="D921">
        <v>3</v>
      </c>
      <c r="E921">
        <v>18000000</v>
      </c>
      <c r="F921">
        <v>4</v>
      </c>
      <c r="G921">
        <v>3110400</v>
      </c>
      <c r="H921">
        <v>51840000</v>
      </c>
      <c r="I921">
        <v>43200000</v>
      </c>
      <c r="J921">
        <v>8640000</v>
      </c>
      <c r="K921" t="s">
        <v>32</v>
      </c>
    </row>
    <row r="922" spans="1:11" x14ac:dyDescent="0.3">
      <c r="A922">
        <v>45847</v>
      </c>
      <c r="B922" t="s">
        <v>15</v>
      </c>
      <c r="C922" t="s">
        <v>11</v>
      </c>
      <c r="D922">
        <v>1</v>
      </c>
      <c r="E922">
        <v>18000000</v>
      </c>
      <c r="F922">
        <v>6</v>
      </c>
      <c r="G922">
        <v>3045600</v>
      </c>
      <c r="H922">
        <v>16920000</v>
      </c>
      <c r="I922">
        <v>14400000</v>
      </c>
      <c r="J922">
        <v>2520000</v>
      </c>
      <c r="K922" t="s">
        <v>32</v>
      </c>
    </row>
    <row r="923" spans="1:11" x14ac:dyDescent="0.3">
      <c r="A923">
        <v>45848</v>
      </c>
      <c r="B923" t="s">
        <v>16</v>
      </c>
      <c r="C923" t="s">
        <v>14</v>
      </c>
      <c r="D923">
        <v>4</v>
      </c>
      <c r="E923">
        <v>16000000</v>
      </c>
      <c r="F923">
        <v>3</v>
      </c>
      <c r="G923">
        <v>2793600</v>
      </c>
      <c r="H923">
        <v>62080000</v>
      </c>
      <c r="I923">
        <v>51200000</v>
      </c>
      <c r="J923">
        <v>10880000</v>
      </c>
      <c r="K923" t="s">
        <v>32</v>
      </c>
    </row>
    <row r="924" spans="1:11" x14ac:dyDescent="0.3">
      <c r="A924">
        <v>45849</v>
      </c>
      <c r="B924" t="s">
        <v>15</v>
      </c>
      <c r="C924" t="s">
        <v>14</v>
      </c>
      <c r="D924">
        <v>3</v>
      </c>
      <c r="E924">
        <v>18000000</v>
      </c>
      <c r="F924">
        <v>6</v>
      </c>
      <c r="G924">
        <v>3045600</v>
      </c>
      <c r="H924">
        <v>50760000</v>
      </c>
      <c r="I924">
        <v>43200000</v>
      </c>
      <c r="J924">
        <v>7560000</v>
      </c>
      <c r="K924" t="s">
        <v>32</v>
      </c>
    </row>
    <row r="925" spans="1:11" x14ac:dyDescent="0.3">
      <c r="A925">
        <v>45850</v>
      </c>
      <c r="B925" t="s">
        <v>15</v>
      </c>
      <c r="C925" t="s">
        <v>17</v>
      </c>
      <c r="D925">
        <v>4</v>
      </c>
      <c r="E925">
        <v>18000000</v>
      </c>
      <c r="F925">
        <v>4</v>
      </c>
      <c r="G925">
        <v>3110400</v>
      </c>
      <c r="H925">
        <v>69120000</v>
      </c>
      <c r="I925">
        <v>57600000</v>
      </c>
      <c r="J925">
        <v>11520000</v>
      </c>
      <c r="K925" t="s">
        <v>32</v>
      </c>
    </row>
    <row r="926" spans="1:11" x14ac:dyDescent="0.3">
      <c r="A926">
        <v>45851</v>
      </c>
      <c r="B926" t="s">
        <v>15</v>
      </c>
      <c r="C926" t="s">
        <v>17</v>
      </c>
      <c r="D926">
        <v>1</v>
      </c>
      <c r="E926">
        <v>18000000</v>
      </c>
      <c r="F926">
        <v>3</v>
      </c>
      <c r="G926">
        <v>3142800</v>
      </c>
      <c r="H926">
        <v>17460000</v>
      </c>
      <c r="I926">
        <v>14400000</v>
      </c>
      <c r="J926">
        <v>3060000</v>
      </c>
      <c r="K926" t="s">
        <v>32</v>
      </c>
    </row>
    <row r="927" spans="1:11" x14ac:dyDescent="0.3">
      <c r="A927">
        <v>45852</v>
      </c>
      <c r="B927" t="s">
        <v>10</v>
      </c>
      <c r="C927" t="s">
        <v>11</v>
      </c>
      <c r="D927">
        <v>1</v>
      </c>
      <c r="E927">
        <v>9000000</v>
      </c>
      <c r="F927">
        <v>4</v>
      </c>
      <c r="G927">
        <v>1555200</v>
      </c>
      <c r="H927">
        <v>8640000</v>
      </c>
      <c r="I927">
        <v>7200000</v>
      </c>
      <c r="J927">
        <v>1440000</v>
      </c>
      <c r="K927" t="s">
        <v>32</v>
      </c>
    </row>
    <row r="928" spans="1:11" x14ac:dyDescent="0.3">
      <c r="A928">
        <v>45853</v>
      </c>
      <c r="B928" t="s">
        <v>12</v>
      </c>
      <c r="C928" t="s">
        <v>13</v>
      </c>
      <c r="D928">
        <v>1</v>
      </c>
      <c r="E928">
        <v>17000000</v>
      </c>
      <c r="F928">
        <v>2</v>
      </c>
      <c r="G928">
        <v>2998800</v>
      </c>
      <c r="H928">
        <v>16660000</v>
      </c>
      <c r="I928">
        <v>13600000</v>
      </c>
      <c r="J928">
        <v>3060000</v>
      </c>
      <c r="K928" t="s">
        <v>32</v>
      </c>
    </row>
    <row r="929" spans="1:11" x14ac:dyDescent="0.3">
      <c r="A929">
        <v>45854</v>
      </c>
      <c r="B929" t="s">
        <v>19</v>
      </c>
      <c r="C929" t="s">
        <v>14</v>
      </c>
      <c r="D929">
        <v>1</v>
      </c>
      <c r="E929">
        <v>15000000</v>
      </c>
      <c r="F929">
        <v>5</v>
      </c>
      <c r="G929">
        <v>2565000</v>
      </c>
      <c r="H929">
        <v>14250000</v>
      </c>
      <c r="I929">
        <v>12000000</v>
      </c>
      <c r="J929">
        <v>2250000</v>
      </c>
      <c r="K929" t="s">
        <v>32</v>
      </c>
    </row>
    <row r="930" spans="1:11" x14ac:dyDescent="0.3">
      <c r="A930">
        <v>45855</v>
      </c>
      <c r="B930" t="s">
        <v>19</v>
      </c>
      <c r="C930" t="s">
        <v>11</v>
      </c>
      <c r="D930">
        <v>3</v>
      </c>
      <c r="E930">
        <v>15000000</v>
      </c>
      <c r="F930">
        <v>4</v>
      </c>
      <c r="G930">
        <v>2592000</v>
      </c>
      <c r="H930">
        <v>43200000</v>
      </c>
      <c r="I930">
        <v>36000000</v>
      </c>
      <c r="J930">
        <v>7200000</v>
      </c>
      <c r="K930" t="s">
        <v>32</v>
      </c>
    </row>
    <row r="931" spans="1:11" x14ac:dyDescent="0.3">
      <c r="A931">
        <v>45856</v>
      </c>
      <c r="B931" t="s">
        <v>12</v>
      </c>
      <c r="C931" t="s">
        <v>18</v>
      </c>
      <c r="D931">
        <v>3</v>
      </c>
      <c r="E931">
        <v>17000000</v>
      </c>
      <c r="F931">
        <v>6</v>
      </c>
      <c r="G931">
        <v>2876400</v>
      </c>
      <c r="H931">
        <v>47940000</v>
      </c>
      <c r="I931">
        <v>40800000</v>
      </c>
      <c r="J931">
        <v>7140000</v>
      </c>
      <c r="K931" t="s">
        <v>32</v>
      </c>
    </row>
    <row r="932" spans="1:11" x14ac:dyDescent="0.3">
      <c r="A932">
        <v>45857</v>
      </c>
      <c r="B932" t="s">
        <v>16</v>
      </c>
      <c r="C932" t="s">
        <v>18</v>
      </c>
      <c r="D932">
        <v>4</v>
      </c>
      <c r="E932">
        <v>16000000</v>
      </c>
      <c r="F932">
        <v>6</v>
      </c>
      <c r="G932">
        <v>2707200</v>
      </c>
      <c r="H932">
        <v>60160000</v>
      </c>
      <c r="I932">
        <v>51200000</v>
      </c>
      <c r="J932">
        <v>8960000</v>
      </c>
      <c r="K932" t="s">
        <v>32</v>
      </c>
    </row>
    <row r="933" spans="1:11" x14ac:dyDescent="0.3">
      <c r="A933">
        <v>45858</v>
      </c>
      <c r="B933" t="s">
        <v>16</v>
      </c>
      <c r="C933" t="s">
        <v>17</v>
      </c>
      <c r="D933">
        <v>2</v>
      </c>
      <c r="E933">
        <v>16000000</v>
      </c>
      <c r="F933">
        <v>5</v>
      </c>
      <c r="G933">
        <v>2736000</v>
      </c>
      <c r="H933">
        <v>30400000</v>
      </c>
      <c r="I933">
        <v>25600000</v>
      </c>
      <c r="J933">
        <v>4800000</v>
      </c>
      <c r="K933" t="s">
        <v>32</v>
      </c>
    </row>
    <row r="934" spans="1:11" x14ac:dyDescent="0.3">
      <c r="A934">
        <v>45859</v>
      </c>
      <c r="B934" t="s">
        <v>15</v>
      </c>
      <c r="C934" t="s">
        <v>11</v>
      </c>
      <c r="D934">
        <v>3</v>
      </c>
      <c r="E934">
        <v>18000000</v>
      </c>
      <c r="F934">
        <v>5</v>
      </c>
      <c r="G934">
        <v>3078000</v>
      </c>
      <c r="H934">
        <v>51300000</v>
      </c>
      <c r="I934">
        <v>43200000</v>
      </c>
      <c r="J934">
        <v>8100000</v>
      </c>
      <c r="K934" t="s">
        <v>32</v>
      </c>
    </row>
    <row r="935" spans="1:11" x14ac:dyDescent="0.3">
      <c r="A935">
        <v>45860</v>
      </c>
      <c r="B935" t="s">
        <v>16</v>
      </c>
      <c r="C935" t="s">
        <v>14</v>
      </c>
      <c r="D935">
        <v>3</v>
      </c>
      <c r="E935">
        <v>16000000</v>
      </c>
      <c r="F935">
        <v>6</v>
      </c>
      <c r="G935">
        <v>2707200</v>
      </c>
      <c r="H935">
        <v>45120000</v>
      </c>
      <c r="I935">
        <v>38400000</v>
      </c>
      <c r="J935">
        <v>6720000</v>
      </c>
      <c r="K935" t="s">
        <v>32</v>
      </c>
    </row>
    <row r="936" spans="1:11" x14ac:dyDescent="0.3">
      <c r="A936">
        <v>45861</v>
      </c>
      <c r="B936" t="s">
        <v>16</v>
      </c>
      <c r="C936" t="s">
        <v>18</v>
      </c>
      <c r="D936">
        <v>2</v>
      </c>
      <c r="E936">
        <v>16000000</v>
      </c>
      <c r="F936">
        <v>2</v>
      </c>
      <c r="G936">
        <v>2822400</v>
      </c>
      <c r="H936">
        <v>31360000</v>
      </c>
      <c r="I936">
        <v>25600000</v>
      </c>
      <c r="J936">
        <v>5760000</v>
      </c>
      <c r="K936" t="s">
        <v>32</v>
      </c>
    </row>
    <row r="937" spans="1:11" x14ac:dyDescent="0.3">
      <c r="A937">
        <v>45862</v>
      </c>
      <c r="B937" t="s">
        <v>15</v>
      </c>
      <c r="C937" t="s">
        <v>17</v>
      </c>
      <c r="D937">
        <v>3</v>
      </c>
      <c r="E937">
        <v>18000000</v>
      </c>
      <c r="F937">
        <v>5</v>
      </c>
      <c r="G937">
        <v>3078000</v>
      </c>
      <c r="H937">
        <v>51300000</v>
      </c>
      <c r="I937">
        <v>43200000</v>
      </c>
      <c r="J937">
        <v>8100000</v>
      </c>
      <c r="K937" t="s">
        <v>32</v>
      </c>
    </row>
    <row r="938" spans="1:11" x14ac:dyDescent="0.3">
      <c r="A938">
        <v>45863</v>
      </c>
      <c r="B938" t="s">
        <v>16</v>
      </c>
      <c r="C938" t="s">
        <v>17</v>
      </c>
      <c r="D938">
        <v>1</v>
      </c>
      <c r="E938">
        <v>16000000</v>
      </c>
      <c r="F938">
        <v>5</v>
      </c>
      <c r="G938">
        <v>2736000</v>
      </c>
      <c r="H938">
        <v>15200000</v>
      </c>
      <c r="I938">
        <v>12800000</v>
      </c>
      <c r="J938">
        <v>2400000</v>
      </c>
      <c r="K938" t="s">
        <v>32</v>
      </c>
    </row>
    <row r="939" spans="1:11" x14ac:dyDescent="0.3">
      <c r="A939">
        <v>45864</v>
      </c>
      <c r="B939" t="s">
        <v>16</v>
      </c>
      <c r="C939" t="s">
        <v>14</v>
      </c>
      <c r="D939">
        <v>1</v>
      </c>
      <c r="E939">
        <v>16000000</v>
      </c>
      <c r="F939">
        <v>2</v>
      </c>
      <c r="G939">
        <v>2822400</v>
      </c>
      <c r="H939">
        <v>15680000</v>
      </c>
      <c r="I939">
        <v>12800000</v>
      </c>
      <c r="J939">
        <v>2880000</v>
      </c>
      <c r="K939" t="s">
        <v>32</v>
      </c>
    </row>
    <row r="940" spans="1:11" x14ac:dyDescent="0.3">
      <c r="A940">
        <v>45865</v>
      </c>
      <c r="B940" t="s">
        <v>16</v>
      </c>
      <c r="C940" t="s">
        <v>14</v>
      </c>
      <c r="D940">
        <v>4</v>
      </c>
      <c r="E940">
        <v>16000000</v>
      </c>
      <c r="F940">
        <v>3</v>
      </c>
      <c r="G940">
        <v>2793600</v>
      </c>
      <c r="H940">
        <v>62080000</v>
      </c>
      <c r="I940">
        <v>51200000</v>
      </c>
      <c r="J940">
        <v>10880000</v>
      </c>
      <c r="K940" t="s">
        <v>32</v>
      </c>
    </row>
    <row r="941" spans="1:11" x14ac:dyDescent="0.3">
      <c r="A941">
        <v>45866</v>
      </c>
      <c r="B941" t="s">
        <v>15</v>
      </c>
      <c r="C941" t="s">
        <v>11</v>
      </c>
      <c r="D941">
        <v>4</v>
      </c>
      <c r="E941">
        <v>18000000</v>
      </c>
      <c r="F941">
        <v>4</v>
      </c>
      <c r="G941">
        <v>3110400</v>
      </c>
      <c r="H941">
        <v>69120000</v>
      </c>
      <c r="I941">
        <v>57600000</v>
      </c>
      <c r="J941">
        <v>11520000</v>
      </c>
      <c r="K941" t="s">
        <v>32</v>
      </c>
    </row>
    <row r="942" spans="1:11" x14ac:dyDescent="0.3">
      <c r="A942">
        <v>45867</v>
      </c>
      <c r="B942" t="s">
        <v>12</v>
      </c>
      <c r="C942" t="s">
        <v>13</v>
      </c>
      <c r="D942">
        <v>4</v>
      </c>
      <c r="E942">
        <v>17000000</v>
      </c>
      <c r="F942">
        <v>5</v>
      </c>
      <c r="G942">
        <v>2907000</v>
      </c>
      <c r="H942">
        <v>64600000</v>
      </c>
      <c r="I942">
        <v>54400000</v>
      </c>
      <c r="J942">
        <v>10200000</v>
      </c>
      <c r="K942" t="s">
        <v>32</v>
      </c>
    </row>
    <row r="943" spans="1:11" x14ac:dyDescent="0.3">
      <c r="A943">
        <v>45868</v>
      </c>
      <c r="B943" t="s">
        <v>19</v>
      </c>
      <c r="C943" t="s">
        <v>14</v>
      </c>
      <c r="D943">
        <v>1</v>
      </c>
      <c r="E943">
        <v>15000000</v>
      </c>
      <c r="F943">
        <v>5</v>
      </c>
      <c r="G943">
        <v>2565000</v>
      </c>
      <c r="H943">
        <v>14250000</v>
      </c>
      <c r="I943">
        <v>12000000</v>
      </c>
      <c r="J943">
        <v>2250000</v>
      </c>
      <c r="K943" t="s">
        <v>32</v>
      </c>
    </row>
    <row r="944" spans="1:11" x14ac:dyDescent="0.3">
      <c r="A944">
        <v>45869</v>
      </c>
      <c r="B944" t="s">
        <v>16</v>
      </c>
      <c r="C944" t="s">
        <v>18</v>
      </c>
      <c r="D944">
        <v>4</v>
      </c>
      <c r="E944">
        <v>16000000</v>
      </c>
      <c r="F944">
        <v>6</v>
      </c>
      <c r="G944">
        <v>2707200</v>
      </c>
      <c r="H944">
        <v>60160000</v>
      </c>
      <c r="I944">
        <v>51200000</v>
      </c>
      <c r="J944">
        <v>8960000</v>
      </c>
      <c r="K944" t="s">
        <v>32</v>
      </c>
    </row>
    <row r="945" spans="1:11" x14ac:dyDescent="0.3">
      <c r="A945">
        <v>45870</v>
      </c>
      <c r="B945" t="s">
        <v>10</v>
      </c>
      <c r="C945" t="s">
        <v>14</v>
      </c>
      <c r="D945">
        <v>1</v>
      </c>
      <c r="E945">
        <v>9000000</v>
      </c>
      <c r="F945">
        <v>5</v>
      </c>
      <c r="G945">
        <v>1539000</v>
      </c>
      <c r="H945">
        <v>8550000</v>
      </c>
      <c r="I945">
        <v>7200000</v>
      </c>
      <c r="J945">
        <v>1350000</v>
      </c>
      <c r="K945" t="s">
        <v>33</v>
      </c>
    </row>
    <row r="946" spans="1:11" x14ac:dyDescent="0.3">
      <c r="A946">
        <v>45871</v>
      </c>
      <c r="B946" t="s">
        <v>16</v>
      </c>
      <c r="C946" t="s">
        <v>17</v>
      </c>
      <c r="D946">
        <v>1</v>
      </c>
      <c r="E946">
        <v>16000000</v>
      </c>
      <c r="F946">
        <v>6</v>
      </c>
      <c r="G946">
        <v>2707200</v>
      </c>
      <c r="H946">
        <v>15040000</v>
      </c>
      <c r="I946">
        <v>12800000</v>
      </c>
      <c r="J946">
        <v>2240000</v>
      </c>
      <c r="K946" t="s">
        <v>33</v>
      </c>
    </row>
    <row r="947" spans="1:11" x14ac:dyDescent="0.3">
      <c r="A947">
        <v>45872</v>
      </c>
      <c r="B947" t="s">
        <v>10</v>
      </c>
      <c r="C947" t="s">
        <v>13</v>
      </c>
      <c r="D947">
        <v>1</v>
      </c>
      <c r="E947">
        <v>9000000</v>
      </c>
      <c r="F947">
        <v>4</v>
      </c>
      <c r="G947">
        <v>1555200</v>
      </c>
      <c r="H947">
        <v>8640000</v>
      </c>
      <c r="I947">
        <v>7200000</v>
      </c>
      <c r="J947">
        <v>1440000</v>
      </c>
      <c r="K947" t="s">
        <v>33</v>
      </c>
    </row>
    <row r="948" spans="1:11" x14ac:dyDescent="0.3">
      <c r="A948">
        <v>45873</v>
      </c>
      <c r="B948" t="s">
        <v>16</v>
      </c>
      <c r="C948" t="s">
        <v>18</v>
      </c>
      <c r="D948">
        <v>1</v>
      </c>
      <c r="E948">
        <v>16000000</v>
      </c>
      <c r="F948">
        <v>6</v>
      </c>
      <c r="G948">
        <v>2707200</v>
      </c>
      <c r="H948">
        <v>15040000</v>
      </c>
      <c r="I948">
        <v>12800000</v>
      </c>
      <c r="J948">
        <v>2240000</v>
      </c>
      <c r="K948" t="s">
        <v>33</v>
      </c>
    </row>
    <row r="949" spans="1:11" x14ac:dyDescent="0.3">
      <c r="A949">
        <v>45874</v>
      </c>
      <c r="B949" t="s">
        <v>10</v>
      </c>
      <c r="C949" t="s">
        <v>11</v>
      </c>
      <c r="D949">
        <v>3</v>
      </c>
      <c r="E949">
        <v>9000000</v>
      </c>
      <c r="F949">
        <v>5</v>
      </c>
      <c r="G949">
        <v>1539000</v>
      </c>
      <c r="H949">
        <v>25650000</v>
      </c>
      <c r="I949">
        <v>21600000</v>
      </c>
      <c r="J949">
        <v>4050000</v>
      </c>
      <c r="K949" t="s">
        <v>33</v>
      </c>
    </row>
    <row r="950" spans="1:11" x14ac:dyDescent="0.3">
      <c r="A950">
        <v>45875</v>
      </c>
      <c r="B950" t="s">
        <v>19</v>
      </c>
      <c r="C950" t="s">
        <v>11</v>
      </c>
      <c r="D950">
        <v>4</v>
      </c>
      <c r="E950">
        <v>15000000</v>
      </c>
      <c r="F950">
        <v>2</v>
      </c>
      <c r="G950">
        <v>2646000</v>
      </c>
      <c r="H950">
        <v>58800000</v>
      </c>
      <c r="I950">
        <v>48000000</v>
      </c>
      <c r="J950">
        <v>10800000</v>
      </c>
      <c r="K950" t="s">
        <v>33</v>
      </c>
    </row>
    <row r="951" spans="1:11" x14ac:dyDescent="0.3">
      <c r="A951">
        <v>45876</v>
      </c>
      <c r="B951" t="s">
        <v>19</v>
      </c>
      <c r="C951" t="s">
        <v>11</v>
      </c>
      <c r="D951">
        <v>1</v>
      </c>
      <c r="E951">
        <v>15000000</v>
      </c>
      <c r="F951">
        <v>4</v>
      </c>
      <c r="G951">
        <v>2592000</v>
      </c>
      <c r="H951">
        <v>14400000</v>
      </c>
      <c r="I951">
        <v>12000000</v>
      </c>
      <c r="J951">
        <v>2400000</v>
      </c>
      <c r="K951" t="s">
        <v>33</v>
      </c>
    </row>
    <row r="952" spans="1:11" x14ac:dyDescent="0.3">
      <c r="A952">
        <v>45877</v>
      </c>
      <c r="B952" t="s">
        <v>12</v>
      </c>
      <c r="C952" t="s">
        <v>18</v>
      </c>
      <c r="D952">
        <v>1</v>
      </c>
      <c r="E952">
        <v>17000000</v>
      </c>
      <c r="F952">
        <v>3</v>
      </c>
      <c r="G952">
        <v>2968200</v>
      </c>
      <c r="H952">
        <v>16490000</v>
      </c>
      <c r="I952">
        <v>13600000</v>
      </c>
      <c r="J952">
        <v>2890000</v>
      </c>
      <c r="K952" t="s">
        <v>33</v>
      </c>
    </row>
    <row r="953" spans="1:11" x14ac:dyDescent="0.3">
      <c r="A953">
        <v>45878</v>
      </c>
      <c r="B953" t="s">
        <v>10</v>
      </c>
      <c r="C953" t="s">
        <v>17</v>
      </c>
      <c r="D953">
        <v>2</v>
      </c>
      <c r="E953">
        <v>9000000</v>
      </c>
      <c r="F953">
        <v>5</v>
      </c>
      <c r="G953">
        <v>1539000</v>
      </c>
      <c r="H953">
        <v>17100000</v>
      </c>
      <c r="I953">
        <v>14400000</v>
      </c>
      <c r="J953">
        <v>2700000</v>
      </c>
      <c r="K953" t="s">
        <v>33</v>
      </c>
    </row>
    <row r="954" spans="1:11" x14ac:dyDescent="0.3">
      <c r="A954">
        <v>45879</v>
      </c>
      <c r="B954" t="s">
        <v>15</v>
      </c>
      <c r="C954" t="s">
        <v>17</v>
      </c>
      <c r="D954">
        <v>2</v>
      </c>
      <c r="E954">
        <v>18000000</v>
      </c>
      <c r="F954">
        <v>5</v>
      </c>
      <c r="G954">
        <v>3078000</v>
      </c>
      <c r="H954">
        <v>34200000</v>
      </c>
      <c r="I954">
        <v>28800000</v>
      </c>
      <c r="J954">
        <v>5400000</v>
      </c>
      <c r="K954" t="s">
        <v>33</v>
      </c>
    </row>
    <row r="955" spans="1:11" x14ac:dyDescent="0.3">
      <c r="A955">
        <v>45880</v>
      </c>
      <c r="B955" t="s">
        <v>19</v>
      </c>
      <c r="C955" t="s">
        <v>11</v>
      </c>
      <c r="D955">
        <v>4</v>
      </c>
      <c r="E955">
        <v>15000000</v>
      </c>
      <c r="F955">
        <v>6</v>
      </c>
      <c r="G955">
        <v>2538000</v>
      </c>
      <c r="H955">
        <v>56400000</v>
      </c>
      <c r="I955">
        <v>48000000</v>
      </c>
      <c r="J955">
        <v>8400000</v>
      </c>
      <c r="K955" t="s">
        <v>33</v>
      </c>
    </row>
    <row r="956" spans="1:11" x14ac:dyDescent="0.3">
      <c r="A956">
        <v>45881</v>
      </c>
      <c r="B956" t="s">
        <v>15</v>
      </c>
      <c r="C956" t="s">
        <v>17</v>
      </c>
      <c r="D956">
        <v>1</v>
      </c>
      <c r="E956">
        <v>18000000</v>
      </c>
      <c r="F956">
        <v>3</v>
      </c>
      <c r="G956">
        <v>3142800</v>
      </c>
      <c r="H956">
        <v>17460000</v>
      </c>
      <c r="I956">
        <v>14400000</v>
      </c>
      <c r="J956">
        <v>3060000</v>
      </c>
      <c r="K956" t="s">
        <v>33</v>
      </c>
    </row>
    <row r="957" spans="1:11" x14ac:dyDescent="0.3">
      <c r="A957">
        <v>45882</v>
      </c>
      <c r="B957" t="s">
        <v>19</v>
      </c>
      <c r="C957" t="s">
        <v>18</v>
      </c>
      <c r="D957">
        <v>3</v>
      </c>
      <c r="E957">
        <v>15000000</v>
      </c>
      <c r="F957">
        <v>6</v>
      </c>
      <c r="G957">
        <v>2538000</v>
      </c>
      <c r="H957">
        <v>42300000</v>
      </c>
      <c r="I957">
        <v>36000000</v>
      </c>
      <c r="J957">
        <v>6300000</v>
      </c>
      <c r="K957" t="s">
        <v>33</v>
      </c>
    </row>
    <row r="958" spans="1:11" x14ac:dyDescent="0.3">
      <c r="A958">
        <v>45883</v>
      </c>
      <c r="B958" t="s">
        <v>16</v>
      </c>
      <c r="C958" t="s">
        <v>17</v>
      </c>
      <c r="D958">
        <v>4</v>
      </c>
      <c r="E958">
        <v>16000000</v>
      </c>
      <c r="F958">
        <v>5</v>
      </c>
      <c r="G958">
        <v>2736000</v>
      </c>
      <c r="H958">
        <v>60800000</v>
      </c>
      <c r="I958">
        <v>51200000</v>
      </c>
      <c r="J958">
        <v>9600000</v>
      </c>
      <c r="K958" t="s">
        <v>33</v>
      </c>
    </row>
    <row r="959" spans="1:11" x14ac:dyDescent="0.3">
      <c r="A959">
        <v>45884</v>
      </c>
      <c r="B959" t="s">
        <v>10</v>
      </c>
      <c r="C959" t="s">
        <v>18</v>
      </c>
      <c r="D959">
        <v>3</v>
      </c>
      <c r="E959">
        <v>9000000</v>
      </c>
      <c r="F959">
        <v>5</v>
      </c>
      <c r="G959">
        <v>1539000</v>
      </c>
      <c r="H959">
        <v>25650000</v>
      </c>
      <c r="I959">
        <v>21600000</v>
      </c>
      <c r="J959">
        <v>4050000</v>
      </c>
      <c r="K959" t="s">
        <v>33</v>
      </c>
    </row>
    <row r="960" spans="1:11" x14ac:dyDescent="0.3">
      <c r="A960">
        <v>45885</v>
      </c>
      <c r="B960" t="s">
        <v>12</v>
      </c>
      <c r="C960" t="s">
        <v>11</v>
      </c>
      <c r="D960">
        <v>2</v>
      </c>
      <c r="E960">
        <v>17000000</v>
      </c>
      <c r="F960">
        <v>2</v>
      </c>
      <c r="G960">
        <v>2998800</v>
      </c>
      <c r="H960">
        <v>33320000</v>
      </c>
      <c r="I960">
        <v>27200000</v>
      </c>
      <c r="J960">
        <v>6120000</v>
      </c>
      <c r="K960" t="s">
        <v>33</v>
      </c>
    </row>
    <row r="961" spans="1:11" x14ac:dyDescent="0.3">
      <c r="A961">
        <v>45886</v>
      </c>
      <c r="B961" t="s">
        <v>12</v>
      </c>
      <c r="C961" t="s">
        <v>14</v>
      </c>
      <c r="D961">
        <v>4</v>
      </c>
      <c r="E961">
        <v>17000000</v>
      </c>
      <c r="F961">
        <v>6</v>
      </c>
      <c r="G961">
        <v>2876400</v>
      </c>
      <c r="H961">
        <v>63920000</v>
      </c>
      <c r="I961">
        <v>54400000</v>
      </c>
      <c r="J961">
        <v>9520000</v>
      </c>
      <c r="K961" t="s">
        <v>33</v>
      </c>
    </row>
    <row r="962" spans="1:11" x14ac:dyDescent="0.3">
      <c r="A962">
        <v>45887</v>
      </c>
      <c r="B962" t="s">
        <v>10</v>
      </c>
      <c r="C962" t="s">
        <v>14</v>
      </c>
      <c r="D962">
        <v>1</v>
      </c>
      <c r="E962">
        <v>9000000</v>
      </c>
      <c r="F962">
        <v>3</v>
      </c>
      <c r="G962">
        <v>1571400</v>
      </c>
      <c r="H962">
        <v>8730000</v>
      </c>
      <c r="I962">
        <v>7200000</v>
      </c>
      <c r="J962">
        <v>1530000</v>
      </c>
      <c r="K962" t="s">
        <v>33</v>
      </c>
    </row>
    <row r="963" spans="1:11" x14ac:dyDescent="0.3">
      <c r="A963">
        <v>45888</v>
      </c>
      <c r="B963" t="s">
        <v>16</v>
      </c>
      <c r="C963" t="s">
        <v>17</v>
      </c>
      <c r="D963">
        <v>1</v>
      </c>
      <c r="E963">
        <v>16000000</v>
      </c>
      <c r="F963">
        <v>4</v>
      </c>
      <c r="G963">
        <v>2764800</v>
      </c>
      <c r="H963">
        <v>15360000</v>
      </c>
      <c r="I963">
        <v>12800000</v>
      </c>
      <c r="J963">
        <v>2560000</v>
      </c>
      <c r="K963" t="s">
        <v>33</v>
      </c>
    </row>
    <row r="964" spans="1:11" x14ac:dyDescent="0.3">
      <c r="A964">
        <v>45889</v>
      </c>
      <c r="B964" t="s">
        <v>10</v>
      </c>
      <c r="C964" t="s">
        <v>13</v>
      </c>
      <c r="D964">
        <v>2</v>
      </c>
      <c r="E964">
        <v>9000000</v>
      </c>
      <c r="F964">
        <v>2</v>
      </c>
      <c r="G964">
        <v>1587600</v>
      </c>
      <c r="H964">
        <v>17640000</v>
      </c>
      <c r="I964">
        <v>14400000</v>
      </c>
      <c r="J964">
        <v>3240000</v>
      </c>
      <c r="K964" t="s">
        <v>33</v>
      </c>
    </row>
    <row r="965" spans="1:11" x14ac:dyDescent="0.3">
      <c r="A965">
        <v>45890</v>
      </c>
      <c r="B965" t="s">
        <v>12</v>
      </c>
      <c r="C965" t="s">
        <v>17</v>
      </c>
      <c r="D965">
        <v>4</v>
      </c>
      <c r="E965">
        <v>17000000</v>
      </c>
      <c r="F965">
        <v>4</v>
      </c>
      <c r="G965">
        <v>2937600</v>
      </c>
      <c r="H965">
        <v>65280000</v>
      </c>
      <c r="I965">
        <v>54400000</v>
      </c>
      <c r="J965">
        <v>10880000</v>
      </c>
      <c r="K965" t="s">
        <v>33</v>
      </c>
    </row>
    <row r="966" spans="1:11" x14ac:dyDescent="0.3">
      <c r="A966">
        <v>45891</v>
      </c>
      <c r="B966" t="s">
        <v>15</v>
      </c>
      <c r="C966" t="s">
        <v>14</v>
      </c>
      <c r="D966">
        <v>4</v>
      </c>
      <c r="E966">
        <v>18000000</v>
      </c>
      <c r="F966">
        <v>5</v>
      </c>
      <c r="G966">
        <v>3078000</v>
      </c>
      <c r="H966">
        <v>68400000</v>
      </c>
      <c r="I966">
        <v>57600000</v>
      </c>
      <c r="J966">
        <v>10800000</v>
      </c>
      <c r="K966" t="s">
        <v>33</v>
      </c>
    </row>
    <row r="967" spans="1:11" x14ac:dyDescent="0.3">
      <c r="A967">
        <v>45892</v>
      </c>
      <c r="B967" t="s">
        <v>19</v>
      </c>
      <c r="C967" t="s">
        <v>17</v>
      </c>
      <c r="D967">
        <v>2</v>
      </c>
      <c r="E967">
        <v>15000000</v>
      </c>
      <c r="F967">
        <v>5</v>
      </c>
      <c r="G967">
        <v>2565000</v>
      </c>
      <c r="H967">
        <v>28500000</v>
      </c>
      <c r="I967">
        <v>24000000</v>
      </c>
      <c r="J967">
        <v>4500000</v>
      </c>
      <c r="K967" t="s">
        <v>33</v>
      </c>
    </row>
    <row r="968" spans="1:11" x14ac:dyDescent="0.3">
      <c r="A968">
        <v>45893</v>
      </c>
      <c r="B968" t="s">
        <v>12</v>
      </c>
      <c r="C968" t="s">
        <v>11</v>
      </c>
      <c r="D968">
        <v>3</v>
      </c>
      <c r="E968">
        <v>17000000</v>
      </c>
      <c r="F968">
        <v>6</v>
      </c>
      <c r="G968">
        <v>2876400</v>
      </c>
      <c r="H968">
        <v>47940000</v>
      </c>
      <c r="I968">
        <v>40800000</v>
      </c>
      <c r="J968">
        <v>7140000</v>
      </c>
      <c r="K968" t="s">
        <v>33</v>
      </c>
    </row>
    <row r="969" spans="1:11" x14ac:dyDescent="0.3">
      <c r="A969">
        <v>45894</v>
      </c>
      <c r="B969" t="s">
        <v>19</v>
      </c>
      <c r="C969" t="s">
        <v>18</v>
      </c>
      <c r="D969">
        <v>3</v>
      </c>
      <c r="E969">
        <v>15000000</v>
      </c>
      <c r="F969">
        <v>5</v>
      </c>
      <c r="G969">
        <v>2565000</v>
      </c>
      <c r="H969">
        <v>42750000</v>
      </c>
      <c r="I969">
        <v>36000000</v>
      </c>
      <c r="J969">
        <v>6750000</v>
      </c>
      <c r="K969" t="s">
        <v>33</v>
      </c>
    </row>
    <row r="970" spans="1:11" x14ac:dyDescent="0.3">
      <c r="A970">
        <v>45895</v>
      </c>
      <c r="B970" t="s">
        <v>12</v>
      </c>
      <c r="C970" t="s">
        <v>18</v>
      </c>
      <c r="D970">
        <v>2</v>
      </c>
      <c r="E970">
        <v>17000000</v>
      </c>
      <c r="F970">
        <v>2</v>
      </c>
      <c r="G970">
        <v>2998800</v>
      </c>
      <c r="H970">
        <v>33320000</v>
      </c>
      <c r="I970">
        <v>27200000</v>
      </c>
      <c r="J970">
        <v>6120000</v>
      </c>
      <c r="K970" t="s">
        <v>33</v>
      </c>
    </row>
    <row r="971" spans="1:11" x14ac:dyDescent="0.3">
      <c r="A971">
        <v>45896</v>
      </c>
      <c r="B971" t="s">
        <v>16</v>
      </c>
      <c r="C971" t="s">
        <v>11</v>
      </c>
      <c r="D971">
        <v>1</v>
      </c>
      <c r="E971">
        <v>16000000</v>
      </c>
      <c r="F971">
        <v>2</v>
      </c>
      <c r="G971">
        <v>2822400</v>
      </c>
      <c r="H971">
        <v>15680000</v>
      </c>
      <c r="I971">
        <v>12800000</v>
      </c>
      <c r="J971">
        <v>2880000</v>
      </c>
      <c r="K971" t="s">
        <v>33</v>
      </c>
    </row>
    <row r="972" spans="1:11" x14ac:dyDescent="0.3">
      <c r="A972">
        <v>45897</v>
      </c>
      <c r="B972" t="s">
        <v>10</v>
      </c>
      <c r="C972" t="s">
        <v>17</v>
      </c>
      <c r="D972">
        <v>3</v>
      </c>
      <c r="E972">
        <v>9000000</v>
      </c>
      <c r="F972">
        <v>5</v>
      </c>
      <c r="G972">
        <v>1539000</v>
      </c>
      <c r="H972">
        <v>25650000</v>
      </c>
      <c r="I972">
        <v>21600000</v>
      </c>
      <c r="J972">
        <v>4050000</v>
      </c>
      <c r="K972" t="s">
        <v>33</v>
      </c>
    </row>
    <row r="973" spans="1:11" x14ac:dyDescent="0.3">
      <c r="A973">
        <v>45898</v>
      </c>
      <c r="B973" t="s">
        <v>19</v>
      </c>
      <c r="C973" t="s">
        <v>14</v>
      </c>
      <c r="D973">
        <v>1</v>
      </c>
      <c r="E973">
        <v>15000000</v>
      </c>
      <c r="F973">
        <v>2</v>
      </c>
      <c r="G973">
        <v>2646000</v>
      </c>
      <c r="H973">
        <v>14700000</v>
      </c>
      <c r="I973">
        <v>12000000</v>
      </c>
      <c r="J973">
        <v>2700000</v>
      </c>
      <c r="K973" t="s">
        <v>33</v>
      </c>
    </row>
    <row r="974" spans="1:11" x14ac:dyDescent="0.3">
      <c r="A974">
        <v>45899</v>
      </c>
      <c r="B974" t="s">
        <v>15</v>
      </c>
      <c r="C974" t="s">
        <v>13</v>
      </c>
      <c r="D974">
        <v>3</v>
      </c>
      <c r="E974">
        <v>18000000</v>
      </c>
      <c r="F974">
        <v>2</v>
      </c>
      <c r="G974">
        <v>3175200</v>
      </c>
      <c r="H974">
        <v>52920000</v>
      </c>
      <c r="I974">
        <v>43200000</v>
      </c>
      <c r="J974">
        <v>9720000</v>
      </c>
      <c r="K974" t="s">
        <v>33</v>
      </c>
    </row>
    <row r="975" spans="1:11" x14ac:dyDescent="0.3">
      <c r="A975">
        <v>45900</v>
      </c>
      <c r="B975" t="s">
        <v>16</v>
      </c>
      <c r="C975" t="s">
        <v>17</v>
      </c>
      <c r="D975">
        <v>1</v>
      </c>
      <c r="E975">
        <v>16000000</v>
      </c>
      <c r="F975">
        <v>5</v>
      </c>
      <c r="G975">
        <v>2736000</v>
      </c>
      <c r="H975">
        <v>15200000</v>
      </c>
      <c r="I975">
        <v>12800000</v>
      </c>
      <c r="J975">
        <v>2400000</v>
      </c>
      <c r="K975" t="s">
        <v>33</v>
      </c>
    </row>
    <row r="976" spans="1:11" x14ac:dyDescent="0.3">
      <c r="A976">
        <v>45901</v>
      </c>
      <c r="B976" t="s">
        <v>16</v>
      </c>
      <c r="C976" t="s">
        <v>13</v>
      </c>
      <c r="D976">
        <v>2</v>
      </c>
      <c r="E976">
        <v>16000000</v>
      </c>
      <c r="F976">
        <v>6</v>
      </c>
      <c r="G976">
        <v>2707200</v>
      </c>
      <c r="H976">
        <v>30080000</v>
      </c>
      <c r="I976">
        <v>25600000</v>
      </c>
      <c r="J976">
        <v>4480000</v>
      </c>
      <c r="K976" t="s">
        <v>34</v>
      </c>
    </row>
    <row r="977" spans="1:11" x14ac:dyDescent="0.3">
      <c r="A977">
        <v>45902</v>
      </c>
      <c r="B977" t="s">
        <v>16</v>
      </c>
      <c r="C977" t="s">
        <v>18</v>
      </c>
      <c r="D977">
        <v>3</v>
      </c>
      <c r="E977">
        <v>16000000</v>
      </c>
      <c r="F977">
        <v>3</v>
      </c>
      <c r="G977">
        <v>2793600</v>
      </c>
      <c r="H977">
        <v>46560000</v>
      </c>
      <c r="I977">
        <v>38400000</v>
      </c>
      <c r="J977">
        <v>8160000</v>
      </c>
      <c r="K977" t="s">
        <v>34</v>
      </c>
    </row>
    <row r="978" spans="1:11" x14ac:dyDescent="0.3">
      <c r="A978">
        <v>45903</v>
      </c>
      <c r="B978" t="s">
        <v>15</v>
      </c>
      <c r="C978" t="s">
        <v>18</v>
      </c>
      <c r="D978">
        <v>4</v>
      </c>
      <c r="E978">
        <v>18000000</v>
      </c>
      <c r="F978">
        <v>3</v>
      </c>
      <c r="G978">
        <v>3142800</v>
      </c>
      <c r="H978">
        <v>69840000</v>
      </c>
      <c r="I978">
        <v>57600000</v>
      </c>
      <c r="J978">
        <v>12240000</v>
      </c>
      <c r="K978" t="s">
        <v>34</v>
      </c>
    </row>
    <row r="979" spans="1:11" x14ac:dyDescent="0.3">
      <c r="A979">
        <v>45904</v>
      </c>
      <c r="B979" t="s">
        <v>15</v>
      </c>
      <c r="C979" t="s">
        <v>13</v>
      </c>
      <c r="D979">
        <v>1</v>
      </c>
      <c r="E979">
        <v>18000000</v>
      </c>
      <c r="F979">
        <v>4</v>
      </c>
      <c r="G979">
        <v>3110400</v>
      </c>
      <c r="H979">
        <v>17280000</v>
      </c>
      <c r="I979">
        <v>14400000</v>
      </c>
      <c r="J979">
        <v>2880000</v>
      </c>
      <c r="K979" t="s">
        <v>34</v>
      </c>
    </row>
    <row r="980" spans="1:11" x14ac:dyDescent="0.3">
      <c r="A980">
        <v>45905</v>
      </c>
      <c r="B980" t="s">
        <v>10</v>
      </c>
      <c r="C980" t="s">
        <v>14</v>
      </c>
      <c r="D980">
        <v>3</v>
      </c>
      <c r="E980">
        <v>9000000</v>
      </c>
      <c r="F980">
        <v>2</v>
      </c>
      <c r="G980">
        <v>1587600</v>
      </c>
      <c r="H980">
        <v>26460000</v>
      </c>
      <c r="I980">
        <v>21600000</v>
      </c>
      <c r="J980">
        <v>4860000</v>
      </c>
      <c r="K980" t="s">
        <v>34</v>
      </c>
    </row>
    <row r="981" spans="1:11" x14ac:dyDescent="0.3">
      <c r="A981">
        <v>45906</v>
      </c>
      <c r="B981" t="s">
        <v>19</v>
      </c>
      <c r="C981" t="s">
        <v>14</v>
      </c>
      <c r="D981">
        <v>4</v>
      </c>
      <c r="E981">
        <v>15000000</v>
      </c>
      <c r="F981">
        <v>2</v>
      </c>
      <c r="G981">
        <v>2646000</v>
      </c>
      <c r="H981">
        <v>58800000</v>
      </c>
      <c r="I981">
        <v>48000000</v>
      </c>
      <c r="J981">
        <v>10800000</v>
      </c>
      <c r="K981" t="s">
        <v>34</v>
      </c>
    </row>
    <row r="982" spans="1:11" x14ac:dyDescent="0.3">
      <c r="A982">
        <v>45907</v>
      </c>
      <c r="B982" t="s">
        <v>19</v>
      </c>
      <c r="C982" t="s">
        <v>18</v>
      </c>
      <c r="D982">
        <v>3</v>
      </c>
      <c r="E982">
        <v>15000000</v>
      </c>
      <c r="F982">
        <v>4</v>
      </c>
      <c r="G982">
        <v>2592000</v>
      </c>
      <c r="H982">
        <v>43200000</v>
      </c>
      <c r="I982">
        <v>36000000</v>
      </c>
      <c r="J982">
        <v>7200000</v>
      </c>
      <c r="K982" t="s">
        <v>34</v>
      </c>
    </row>
    <row r="983" spans="1:11" x14ac:dyDescent="0.3">
      <c r="A983">
        <v>45908</v>
      </c>
      <c r="B983" t="s">
        <v>16</v>
      </c>
      <c r="C983" t="s">
        <v>11</v>
      </c>
      <c r="D983">
        <v>2</v>
      </c>
      <c r="E983">
        <v>16000000</v>
      </c>
      <c r="F983">
        <v>3</v>
      </c>
      <c r="G983">
        <v>2793600</v>
      </c>
      <c r="H983">
        <v>31040000</v>
      </c>
      <c r="I983">
        <v>25600000</v>
      </c>
      <c r="J983">
        <v>5440000</v>
      </c>
      <c r="K983" t="s">
        <v>34</v>
      </c>
    </row>
    <row r="984" spans="1:11" x14ac:dyDescent="0.3">
      <c r="A984">
        <v>45909</v>
      </c>
      <c r="B984" t="s">
        <v>19</v>
      </c>
      <c r="C984" t="s">
        <v>18</v>
      </c>
      <c r="D984">
        <v>3</v>
      </c>
      <c r="E984">
        <v>15000000</v>
      </c>
      <c r="F984">
        <v>4</v>
      </c>
      <c r="G984">
        <v>2592000</v>
      </c>
      <c r="H984">
        <v>43200000</v>
      </c>
      <c r="I984">
        <v>36000000</v>
      </c>
      <c r="J984">
        <v>7200000</v>
      </c>
      <c r="K984" t="s">
        <v>34</v>
      </c>
    </row>
    <row r="985" spans="1:11" x14ac:dyDescent="0.3">
      <c r="A985">
        <v>45910</v>
      </c>
      <c r="B985" t="s">
        <v>12</v>
      </c>
      <c r="C985" t="s">
        <v>11</v>
      </c>
      <c r="D985">
        <v>4</v>
      </c>
      <c r="E985">
        <v>17000000</v>
      </c>
      <c r="F985">
        <v>6</v>
      </c>
      <c r="G985">
        <v>2876400</v>
      </c>
      <c r="H985">
        <v>63920000</v>
      </c>
      <c r="I985">
        <v>54400000</v>
      </c>
      <c r="J985">
        <v>9520000</v>
      </c>
      <c r="K985" t="s">
        <v>34</v>
      </c>
    </row>
    <row r="986" spans="1:11" x14ac:dyDescent="0.3">
      <c r="A986">
        <v>45911</v>
      </c>
      <c r="B986" t="s">
        <v>16</v>
      </c>
      <c r="C986" t="s">
        <v>11</v>
      </c>
      <c r="D986">
        <v>3</v>
      </c>
      <c r="E986">
        <v>16000000</v>
      </c>
      <c r="F986">
        <v>2</v>
      </c>
      <c r="G986">
        <v>2822400</v>
      </c>
      <c r="H986">
        <v>47040000</v>
      </c>
      <c r="I986">
        <v>38400000</v>
      </c>
      <c r="J986">
        <v>8640000</v>
      </c>
      <c r="K986" t="s">
        <v>34</v>
      </c>
    </row>
    <row r="987" spans="1:11" x14ac:dyDescent="0.3">
      <c r="A987">
        <v>45912</v>
      </c>
      <c r="B987" t="s">
        <v>15</v>
      </c>
      <c r="C987" t="s">
        <v>18</v>
      </c>
      <c r="D987">
        <v>4</v>
      </c>
      <c r="E987">
        <v>18000000</v>
      </c>
      <c r="F987">
        <v>4</v>
      </c>
      <c r="G987">
        <v>3110400</v>
      </c>
      <c r="H987">
        <v>69120000</v>
      </c>
      <c r="I987">
        <v>57600000</v>
      </c>
      <c r="J987">
        <v>11520000</v>
      </c>
      <c r="K987" t="s">
        <v>34</v>
      </c>
    </row>
    <row r="988" spans="1:11" x14ac:dyDescent="0.3">
      <c r="A988">
        <v>45913</v>
      </c>
      <c r="B988" t="s">
        <v>10</v>
      </c>
      <c r="C988" t="s">
        <v>13</v>
      </c>
      <c r="D988">
        <v>2</v>
      </c>
      <c r="E988">
        <v>9000000</v>
      </c>
      <c r="F988">
        <v>2</v>
      </c>
      <c r="G988">
        <v>1587600</v>
      </c>
      <c r="H988">
        <v>17640000</v>
      </c>
      <c r="I988">
        <v>14400000</v>
      </c>
      <c r="J988">
        <v>3240000</v>
      </c>
      <c r="K988" t="s">
        <v>34</v>
      </c>
    </row>
    <row r="989" spans="1:11" x14ac:dyDescent="0.3">
      <c r="A989">
        <v>45914</v>
      </c>
      <c r="B989" t="s">
        <v>15</v>
      </c>
      <c r="C989" t="s">
        <v>11</v>
      </c>
      <c r="D989">
        <v>2</v>
      </c>
      <c r="E989">
        <v>18000000</v>
      </c>
      <c r="F989">
        <v>4</v>
      </c>
      <c r="G989">
        <v>3110400</v>
      </c>
      <c r="H989">
        <v>34560000</v>
      </c>
      <c r="I989">
        <v>28800000</v>
      </c>
      <c r="J989">
        <v>5760000</v>
      </c>
      <c r="K989" t="s">
        <v>34</v>
      </c>
    </row>
    <row r="990" spans="1:11" x14ac:dyDescent="0.3">
      <c r="A990">
        <v>45915</v>
      </c>
      <c r="B990" t="s">
        <v>12</v>
      </c>
      <c r="C990" t="s">
        <v>14</v>
      </c>
      <c r="D990">
        <v>1</v>
      </c>
      <c r="E990">
        <v>17000000</v>
      </c>
      <c r="F990">
        <v>3</v>
      </c>
      <c r="G990">
        <v>2968200</v>
      </c>
      <c r="H990">
        <v>16490000</v>
      </c>
      <c r="I990">
        <v>13600000</v>
      </c>
      <c r="J990">
        <v>2890000</v>
      </c>
      <c r="K990" t="s">
        <v>34</v>
      </c>
    </row>
    <row r="991" spans="1:11" x14ac:dyDescent="0.3">
      <c r="A991">
        <v>45916</v>
      </c>
      <c r="B991" t="s">
        <v>16</v>
      </c>
      <c r="C991" t="s">
        <v>13</v>
      </c>
      <c r="D991">
        <v>3</v>
      </c>
      <c r="E991">
        <v>16000000</v>
      </c>
      <c r="F991">
        <v>4</v>
      </c>
      <c r="G991">
        <v>2764800</v>
      </c>
      <c r="H991">
        <v>46080000</v>
      </c>
      <c r="I991">
        <v>38400000</v>
      </c>
      <c r="J991">
        <v>7680000</v>
      </c>
      <c r="K991" t="s">
        <v>34</v>
      </c>
    </row>
    <row r="992" spans="1:11" x14ac:dyDescent="0.3">
      <c r="A992">
        <v>45917</v>
      </c>
      <c r="B992" t="s">
        <v>10</v>
      </c>
      <c r="C992" t="s">
        <v>14</v>
      </c>
      <c r="D992">
        <v>4</v>
      </c>
      <c r="E992">
        <v>9000000</v>
      </c>
      <c r="F992">
        <v>5</v>
      </c>
      <c r="G992">
        <v>1539000</v>
      </c>
      <c r="H992">
        <v>34200000</v>
      </c>
      <c r="I992">
        <v>28800000</v>
      </c>
      <c r="J992">
        <v>5400000</v>
      </c>
      <c r="K992" t="s">
        <v>34</v>
      </c>
    </row>
    <row r="993" spans="1:11" x14ac:dyDescent="0.3">
      <c r="A993">
        <v>45918</v>
      </c>
      <c r="B993" t="s">
        <v>12</v>
      </c>
      <c r="C993" t="s">
        <v>18</v>
      </c>
      <c r="D993">
        <v>1</v>
      </c>
      <c r="E993">
        <v>17000000</v>
      </c>
      <c r="F993">
        <v>5</v>
      </c>
      <c r="G993">
        <v>2907000</v>
      </c>
      <c r="H993">
        <v>16150000</v>
      </c>
      <c r="I993">
        <v>13600000</v>
      </c>
      <c r="J993">
        <v>2550000</v>
      </c>
      <c r="K993" t="s">
        <v>34</v>
      </c>
    </row>
    <row r="994" spans="1:11" x14ac:dyDescent="0.3">
      <c r="A994">
        <v>45919</v>
      </c>
      <c r="B994" t="s">
        <v>19</v>
      </c>
      <c r="C994" t="s">
        <v>14</v>
      </c>
      <c r="D994">
        <v>3</v>
      </c>
      <c r="E994">
        <v>15000000</v>
      </c>
      <c r="F994">
        <v>6</v>
      </c>
      <c r="G994">
        <v>2538000</v>
      </c>
      <c r="H994">
        <v>42300000</v>
      </c>
      <c r="I994">
        <v>36000000</v>
      </c>
      <c r="J994">
        <v>6300000</v>
      </c>
      <c r="K994" t="s">
        <v>34</v>
      </c>
    </row>
    <row r="995" spans="1:11" x14ac:dyDescent="0.3">
      <c r="A995">
        <v>45920</v>
      </c>
      <c r="B995" t="s">
        <v>19</v>
      </c>
      <c r="C995" t="s">
        <v>14</v>
      </c>
      <c r="D995">
        <v>4</v>
      </c>
      <c r="E995">
        <v>15000000</v>
      </c>
      <c r="F995">
        <v>3</v>
      </c>
      <c r="G995">
        <v>2619000</v>
      </c>
      <c r="H995">
        <v>58200000</v>
      </c>
      <c r="I995">
        <v>48000000</v>
      </c>
      <c r="J995">
        <v>10200000</v>
      </c>
      <c r="K995" t="s">
        <v>34</v>
      </c>
    </row>
    <row r="996" spans="1:11" x14ac:dyDescent="0.3">
      <c r="A996">
        <v>45921</v>
      </c>
      <c r="B996" t="s">
        <v>15</v>
      </c>
      <c r="C996" t="s">
        <v>11</v>
      </c>
      <c r="D996">
        <v>4</v>
      </c>
      <c r="E996">
        <v>18000000</v>
      </c>
      <c r="F996">
        <v>5</v>
      </c>
      <c r="G996">
        <v>3078000</v>
      </c>
      <c r="H996">
        <v>68400000</v>
      </c>
      <c r="I996">
        <v>57600000</v>
      </c>
      <c r="J996">
        <v>10800000</v>
      </c>
      <c r="K996" t="s">
        <v>34</v>
      </c>
    </row>
    <row r="997" spans="1:11" x14ac:dyDescent="0.3">
      <c r="A997">
        <v>45922</v>
      </c>
      <c r="B997" t="s">
        <v>15</v>
      </c>
      <c r="C997" t="s">
        <v>17</v>
      </c>
      <c r="D997">
        <v>3</v>
      </c>
      <c r="E997">
        <v>18000000</v>
      </c>
      <c r="F997">
        <v>4</v>
      </c>
      <c r="G997">
        <v>3110400</v>
      </c>
      <c r="H997">
        <v>51840000</v>
      </c>
      <c r="I997">
        <v>43200000</v>
      </c>
      <c r="J997">
        <v>8640000</v>
      </c>
      <c r="K997" t="s">
        <v>34</v>
      </c>
    </row>
    <row r="998" spans="1:11" x14ac:dyDescent="0.3">
      <c r="A998">
        <v>45923</v>
      </c>
      <c r="B998" t="s">
        <v>19</v>
      </c>
      <c r="C998" t="s">
        <v>11</v>
      </c>
      <c r="D998">
        <v>3</v>
      </c>
      <c r="E998">
        <v>15000000</v>
      </c>
      <c r="F998">
        <v>6</v>
      </c>
      <c r="G998">
        <v>2538000</v>
      </c>
      <c r="H998">
        <v>42300000</v>
      </c>
      <c r="I998">
        <v>36000000</v>
      </c>
      <c r="J998">
        <v>6300000</v>
      </c>
      <c r="K998" t="s">
        <v>34</v>
      </c>
    </row>
    <row r="999" spans="1:11" x14ac:dyDescent="0.3">
      <c r="A999">
        <v>45924</v>
      </c>
      <c r="B999" t="s">
        <v>15</v>
      </c>
      <c r="C999" t="s">
        <v>17</v>
      </c>
      <c r="D999">
        <v>1</v>
      </c>
      <c r="E999">
        <v>18000000</v>
      </c>
      <c r="F999">
        <v>2</v>
      </c>
      <c r="G999">
        <v>3175200</v>
      </c>
      <c r="H999">
        <v>17640000</v>
      </c>
      <c r="I999">
        <v>14400000</v>
      </c>
      <c r="J999">
        <v>3240000</v>
      </c>
      <c r="K999" t="s">
        <v>34</v>
      </c>
    </row>
    <row r="1000" spans="1:11" x14ac:dyDescent="0.3">
      <c r="A1000">
        <v>45925</v>
      </c>
      <c r="B1000" t="s">
        <v>10</v>
      </c>
      <c r="C1000" t="s">
        <v>18</v>
      </c>
      <c r="D1000">
        <v>3</v>
      </c>
      <c r="E1000">
        <v>9000000</v>
      </c>
      <c r="F1000">
        <v>2</v>
      </c>
      <c r="G1000">
        <v>1587600</v>
      </c>
      <c r="H1000">
        <v>26460000</v>
      </c>
      <c r="I1000">
        <v>21600000</v>
      </c>
      <c r="J1000">
        <v>4860000</v>
      </c>
      <c r="K1000" t="s">
        <v>34</v>
      </c>
    </row>
    <row r="1001" spans="1:11" x14ac:dyDescent="0.3">
      <c r="A1001">
        <v>45926</v>
      </c>
      <c r="B1001" t="s">
        <v>16</v>
      </c>
      <c r="C1001" t="s">
        <v>11</v>
      </c>
      <c r="D1001">
        <v>4</v>
      </c>
      <c r="E1001">
        <v>16000000</v>
      </c>
      <c r="F1001">
        <v>5</v>
      </c>
      <c r="G1001">
        <v>2736000</v>
      </c>
      <c r="H1001">
        <v>60800000</v>
      </c>
      <c r="I1001">
        <v>51200000</v>
      </c>
      <c r="J1001">
        <v>9600000</v>
      </c>
      <c r="K1001" t="s">
        <v>34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9284E3-B362-4631-B8F1-35F78FC1D0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Porsche Pivot Analysis</vt:lpstr>
      <vt:lpstr>Porsche Dashboard</vt:lpstr>
      <vt:lpstr>Porsche Sales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rabiya basri</cp:lastModifiedBy>
  <dcterms:created xsi:type="dcterms:W3CDTF">2026-04-11T11:03:14Z</dcterms:created>
  <dcterms:modified xsi:type="dcterms:W3CDTF">2026-04-28T09:40:28Z</dcterms:modified>
</cp:coreProperties>
</file>